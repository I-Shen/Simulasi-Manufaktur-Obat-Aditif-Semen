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Daftar &amp; Kamus Data" sheetId="1" state="visible" r:id="rId1"/>
    <sheet name="master_bahan_baku" sheetId="2" state="visible" r:id="rId2"/>
    <sheet name="master_fasilitas_storage" sheetId="3" state="visible" r:id="rId3"/>
    <sheet name="log_logistik_inbound" sheetId="4" state="visible" r:id="rId4"/>
    <sheet name="log_logistik_outbound" sheetId="5" state="visible" r:id="rId5"/>
    <sheet name="telemetri_produksi_scada" sheetId="6" state="visible" r:id="rId6"/>
    <sheet name="biaya_siklus_hpp" sheetId="7" state="visible" r:id="rId7"/>
    <sheet name="insiden_downtime_bottleneck" sheetId="8" state="visible" r:id="rId8"/>
    <sheet name="rekap_kinerja_eksekutif" sheetId="9" state="visible" r:id="rId9"/>
    <sheet name="simulasi_skenario_demand_range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0.00&quot;%&quot;"/>
    <numFmt numFmtId="165" formatCode="&quot;Rp &quot;#,##0"/>
    <numFmt numFmtId="166" formatCode="yyyy\-mm\-dd\ hh:mm:ss"/>
    <numFmt numFmtId="167" formatCode="#,##0.0"/>
    <numFmt numFmtId="168" formatCode="yyyy\-mm\-dd"/>
    <numFmt numFmtId="169" formatCode="0.0&quot; Jam&quot;"/>
    <numFmt numFmtId="170" formatCode="#,##0.0&quot; Ton&quot;"/>
    <numFmt numFmtId="171" formatCode="0.00&quot; Rit&quot;"/>
    <numFmt numFmtId="172" formatCode="0&quot; Rit&quot;"/>
    <numFmt numFmtId="173" formatCode="0.00&quot; Jam&quot;"/>
    <numFmt numFmtId="174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FF0F172A"/>
      <sz val="14"/>
    </font>
    <font>
      <name val="Calibri"/>
      <i val="1"/>
      <color rgb="FF475569"/>
      <sz val="10"/>
    </font>
    <font>
      <name val="Calibri"/>
      <b val="1"/>
      <color rgb="FFFFFFFF"/>
      <sz val="11"/>
    </font>
    <font>
      <name val="Calibri"/>
      <b val="1"/>
      <color rgb="FF1E3A8A"/>
      <sz val="11"/>
    </font>
    <font>
      <name val="Calibri"/>
      <b val="1"/>
      <color rgb="FF0F172A"/>
      <sz val="11"/>
    </font>
    <font>
      <name val="Calibri"/>
      <b val="1"/>
      <color rgb="FF334155"/>
      <sz val="10"/>
    </font>
    <font>
      <name val="Calibri"/>
      <color rgb="FF0F172A"/>
      <sz val="10"/>
    </font>
    <font>
      <name val="Calibri"/>
      <b val="1"/>
      <color rgb="FF0F172A"/>
      <sz val="12"/>
    </font>
    <font>
      <name val="Calibri"/>
      <b val="1"/>
      <color rgb="001E293B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B45309"/>
      <sz val="10"/>
    </font>
    <font>
      <name val="Calibri"/>
      <b val="1"/>
      <color rgb="000369A1"/>
      <sz val="11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E293B"/>
      <sz val="15"/>
    </font>
    <font>
      <name val="Calibri"/>
      <b val="1"/>
      <color rgb="00FFFFFF"/>
      <sz val="9.5"/>
    </font>
    <font>
      <name val="Calibri"/>
      <b val="1"/>
      <color rgb="00000000"/>
      <sz val="9.5"/>
    </font>
    <font>
      <name val="Calibri"/>
      <color rgb="00000000"/>
      <sz val="9.5"/>
    </font>
  </fonts>
  <fills count="16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000284C7"/>
        <bgColor rgb="000284C7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0D9488"/>
        <bgColor rgb="000D9488"/>
      </patternFill>
    </fill>
    <fill>
      <patternFill patternType="solid">
        <fgColor rgb="00FEE2E2"/>
        <bgColor rgb="00FEE2E2"/>
      </patternFill>
    </fill>
    <fill>
      <patternFill patternType="solid">
        <fgColor rgb="00D97706"/>
        <bgColor rgb="00D9770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6366F1"/>
        <bgColor rgb="006366F1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4" fontId="7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4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center" vertical="center"/>
    </xf>
    <xf numFmtId="168" fontId="7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5" borderId="0" pivotButton="0" quotePrefix="0" xfId="0"/>
    <xf numFmtId="0" fontId="0" fillId="5" borderId="0" pivotButton="0" quotePrefix="0" xfId="0"/>
    <xf numFmtId="0" fontId="12" fillId="6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/>
    </xf>
    <xf numFmtId="169" fontId="13" fillId="0" borderId="3" applyAlignment="1" pivotButton="0" quotePrefix="0" xfId="0">
      <alignment horizontal="right" vertical="center"/>
    </xf>
    <xf numFmtId="170" fontId="13" fillId="0" borderId="3" applyAlignment="1" pivotButton="0" quotePrefix="0" xfId="0">
      <alignment horizontal="right" vertical="center"/>
    </xf>
    <xf numFmtId="171" fontId="13" fillId="0" borderId="3" applyAlignment="1" pivotButton="0" quotePrefix="0" xfId="0">
      <alignment horizontal="right" vertical="center"/>
    </xf>
    <xf numFmtId="172" fontId="13" fillId="0" borderId="3" applyAlignment="1" pivotButton="0" quotePrefix="0" xfId="0">
      <alignment horizontal="right" vertical="center"/>
    </xf>
    <xf numFmtId="173" fontId="13" fillId="0" borderId="3" applyAlignment="1" pivotButton="0" quotePrefix="0" xfId="0">
      <alignment horizontal="right" vertical="center"/>
    </xf>
    <xf numFmtId="0" fontId="13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/>
    </xf>
    <xf numFmtId="169" fontId="13" fillId="7" borderId="3" applyAlignment="1" pivotButton="0" quotePrefix="0" xfId="0">
      <alignment horizontal="right" vertical="center"/>
    </xf>
    <xf numFmtId="170" fontId="13" fillId="7" borderId="3" applyAlignment="1" pivotButton="0" quotePrefix="0" xfId="0">
      <alignment horizontal="right" vertical="center"/>
    </xf>
    <xf numFmtId="171" fontId="13" fillId="7" borderId="3" applyAlignment="1" pivotButton="0" quotePrefix="0" xfId="0">
      <alignment horizontal="right" vertical="center"/>
    </xf>
    <xf numFmtId="172" fontId="13" fillId="7" borderId="3" applyAlignment="1" pivotButton="0" quotePrefix="0" xfId="0">
      <alignment horizontal="right" vertical="center"/>
    </xf>
    <xf numFmtId="173" fontId="13" fillId="7" borderId="3" applyAlignment="1" pivotButton="0" quotePrefix="0" xfId="0">
      <alignment horizontal="right" vertical="center"/>
    </xf>
    <xf numFmtId="173" fontId="14" fillId="8" borderId="3" applyAlignment="1" pivotButton="0" quotePrefix="0" xfId="0">
      <alignment horizontal="right" vertical="center"/>
    </xf>
    <xf numFmtId="0" fontId="11" fillId="9" borderId="0" pivotButton="0" quotePrefix="0" xfId="0"/>
    <xf numFmtId="0" fontId="0" fillId="9" borderId="0" pivotButton="0" quotePrefix="0" xfId="0"/>
    <xf numFmtId="165" fontId="13" fillId="0" borderId="3" applyAlignment="1" pivotButton="0" quotePrefix="0" xfId="0">
      <alignment horizontal="right" vertical="center"/>
    </xf>
    <xf numFmtId="165" fontId="15" fillId="0" borderId="3" applyAlignment="1" pivotButton="0" quotePrefix="0" xfId="0">
      <alignment horizontal="right" vertical="center"/>
    </xf>
    <xf numFmtId="174" fontId="16" fillId="0" borderId="3" applyAlignment="1" pivotButton="0" quotePrefix="0" xfId="0">
      <alignment horizontal="right" vertical="center"/>
    </xf>
    <xf numFmtId="165" fontId="17" fillId="10" borderId="3" applyAlignment="1" pivotButton="0" quotePrefix="0" xfId="0">
      <alignment horizontal="right" vertical="center"/>
    </xf>
    <xf numFmtId="165" fontId="13" fillId="7" borderId="3" applyAlignment="1" pivotButton="0" quotePrefix="0" xfId="0">
      <alignment horizontal="right" vertical="center"/>
    </xf>
    <xf numFmtId="165" fontId="15" fillId="7" borderId="3" applyAlignment="1" pivotButton="0" quotePrefix="0" xfId="0">
      <alignment horizontal="right" vertical="center"/>
    </xf>
    <xf numFmtId="174" fontId="16" fillId="7" borderId="3" applyAlignment="1" pivotButton="0" quotePrefix="0" xfId="0">
      <alignment horizontal="right" vertical="center"/>
    </xf>
    <xf numFmtId="0" fontId="11" fillId="11" borderId="0" pivotButton="0" quotePrefix="0" xfId="0"/>
    <xf numFmtId="0" fontId="0" fillId="11" borderId="0" pivotButton="0" quotePrefix="0" xfId="0"/>
    <xf numFmtId="0" fontId="13" fillId="0" borderId="3" applyAlignment="1" pivotButton="0" quotePrefix="0" xfId="0">
      <alignment horizontal="center" vertical="top"/>
    </xf>
    <xf numFmtId="0" fontId="16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3" fillId="7" borderId="3" applyAlignment="1" pivotButton="0" quotePrefix="0" xfId="0">
      <alignment horizontal="center" vertical="top"/>
    </xf>
    <xf numFmtId="0" fontId="16" fillId="7" borderId="3" applyAlignment="1" pivotButton="0" quotePrefix="0" xfId="0">
      <alignment horizontal="left" vertical="top" wrapText="1"/>
    </xf>
    <xf numFmtId="0" fontId="13" fillId="7" borderId="3" applyAlignment="1" pivotButton="0" quotePrefix="0" xfId="0">
      <alignment horizontal="left" vertical="top" wrapText="1"/>
    </xf>
    <xf numFmtId="0" fontId="18" fillId="0" borderId="0" pivotButton="0" quotePrefix="0" xfId="0"/>
    <xf numFmtId="0" fontId="19" fillId="6" borderId="4" applyAlignment="1" pivotButton="0" quotePrefix="0" xfId="0">
      <alignment horizontal="center" vertical="center" wrapText="1"/>
    </xf>
    <xf numFmtId="0" fontId="20" fillId="12" borderId="3" applyAlignment="1" pivotButton="0" quotePrefix="0" xfId="0">
      <alignment horizontal="center" vertical="center" wrapText="1"/>
    </xf>
    <xf numFmtId="0" fontId="21" fillId="12" borderId="3" applyAlignment="1" pivotButton="0" quotePrefix="0" xfId="0">
      <alignment horizontal="left" vertical="center" wrapText="1"/>
    </xf>
    <xf numFmtId="167" fontId="21" fillId="12" borderId="3" applyAlignment="1" pivotButton="0" quotePrefix="0" xfId="0">
      <alignment horizontal="center" vertical="center" wrapText="1"/>
    </xf>
    <xf numFmtId="167" fontId="20" fillId="12" borderId="3" applyAlignment="1" pivotButton="0" quotePrefix="0" xfId="0">
      <alignment horizontal="right" vertical="center"/>
    </xf>
    <xf numFmtId="167" fontId="21" fillId="12" borderId="3" applyAlignment="1" pivotButton="0" quotePrefix="0" xfId="0">
      <alignment horizontal="right" vertical="center"/>
    </xf>
    <xf numFmtId="2" fontId="21" fillId="12" borderId="3" applyAlignment="1" pivotButton="0" quotePrefix="0" xfId="0">
      <alignment horizontal="right" vertical="center"/>
    </xf>
    <xf numFmtId="1" fontId="20" fillId="12" borderId="3" applyAlignment="1" pivotButton="0" quotePrefix="0" xfId="0">
      <alignment horizontal="center" vertical="center" wrapText="1"/>
    </xf>
    <xf numFmtId="0" fontId="20" fillId="13" borderId="3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left" vertical="center" wrapText="1"/>
    </xf>
    <xf numFmtId="167" fontId="21" fillId="13" borderId="3" applyAlignment="1" pivotButton="0" quotePrefix="0" xfId="0">
      <alignment horizontal="center" vertical="center" wrapText="1"/>
    </xf>
    <xf numFmtId="167" fontId="20" fillId="13" borderId="3" applyAlignment="1" pivotButton="0" quotePrefix="0" xfId="0">
      <alignment horizontal="right" vertical="center"/>
    </xf>
    <xf numFmtId="167" fontId="21" fillId="13" borderId="3" applyAlignment="1" pivotButton="0" quotePrefix="0" xfId="0">
      <alignment horizontal="right" vertical="center"/>
    </xf>
    <xf numFmtId="2" fontId="21" fillId="13" borderId="3" applyAlignment="1" pivotButton="0" quotePrefix="0" xfId="0">
      <alignment horizontal="right" vertical="center"/>
    </xf>
    <xf numFmtId="1" fontId="20" fillId="13" borderId="3" applyAlignment="1" pivotButton="0" quotePrefix="0" xfId="0">
      <alignment horizontal="center" vertical="center" wrapText="1"/>
    </xf>
    <xf numFmtId="0" fontId="20" fillId="8" borderId="3" applyAlignment="1" pivotButton="0" quotePrefix="0" xfId="0">
      <alignment horizontal="center" vertical="center" wrapText="1"/>
    </xf>
    <xf numFmtId="0" fontId="21" fillId="8" borderId="3" applyAlignment="1" pivotButton="0" quotePrefix="0" xfId="0">
      <alignment horizontal="left" vertical="center" wrapText="1"/>
    </xf>
    <xf numFmtId="167" fontId="21" fillId="8" borderId="3" applyAlignment="1" pivotButton="0" quotePrefix="0" xfId="0">
      <alignment horizontal="center" vertical="center" wrapText="1"/>
    </xf>
    <xf numFmtId="167" fontId="20" fillId="8" borderId="3" applyAlignment="1" pivotButton="0" quotePrefix="0" xfId="0">
      <alignment horizontal="right" vertical="center"/>
    </xf>
    <xf numFmtId="167" fontId="21" fillId="8" borderId="3" applyAlignment="1" pivotButton="0" quotePrefix="0" xfId="0">
      <alignment horizontal="right" vertical="center"/>
    </xf>
    <xf numFmtId="2" fontId="21" fillId="8" borderId="3" applyAlignment="1" pivotButton="0" quotePrefix="0" xfId="0">
      <alignment horizontal="right" vertical="center"/>
    </xf>
    <xf numFmtId="1" fontId="20" fillId="8" borderId="3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170" fontId="19" fillId="6" borderId="4" applyAlignment="1" pivotButton="0" quotePrefix="0" xfId="0">
      <alignment horizontal="center" vertical="center" wrapText="1"/>
    </xf>
    <xf numFmtId="165" fontId="19" fillId="6" borderId="4" applyAlignment="1" pivotButton="0" quotePrefix="0" xfId="0">
      <alignment horizontal="center" vertical="center" wrapText="1"/>
    </xf>
    <xf numFmtId="174" fontId="19" fillId="6" borderId="4" applyAlignment="1" pivotButton="0" quotePrefix="0" xfId="0">
      <alignment horizontal="center" vertical="center" wrapText="1"/>
    </xf>
    <xf numFmtId="3" fontId="21" fillId="13" borderId="3" applyAlignment="1" pivotButton="0" quotePrefix="0" xfId="0">
      <alignment horizontal="right" vertical="center"/>
    </xf>
    <xf numFmtId="3" fontId="20" fillId="13" borderId="3" applyAlignment="1" pivotButton="0" quotePrefix="0" xfId="0">
      <alignment horizontal="right" vertical="center"/>
    </xf>
    <xf numFmtId="10" fontId="21" fillId="13" borderId="3" applyAlignment="1" pivotButton="0" quotePrefix="0" xfId="0">
      <alignment horizontal="right" vertical="center"/>
    </xf>
    <xf numFmtId="3" fontId="21" fillId="12" borderId="3" applyAlignment="1" pivotButton="0" quotePrefix="0" xfId="0">
      <alignment horizontal="right" vertical="center"/>
    </xf>
    <xf numFmtId="3" fontId="20" fillId="12" borderId="3" applyAlignment="1" pivotButton="0" quotePrefix="0" xfId="0">
      <alignment horizontal="right" vertical="center"/>
    </xf>
    <xf numFmtId="10" fontId="21" fillId="12" borderId="3" applyAlignment="1" pivotButton="0" quotePrefix="0" xfId="0">
      <alignment horizontal="right" vertical="center"/>
    </xf>
    <xf numFmtId="0" fontId="20" fillId="14" borderId="3" applyAlignment="1" pivotButton="0" quotePrefix="0" xfId="0">
      <alignment horizontal="center" vertical="center" wrapText="1"/>
    </xf>
    <xf numFmtId="167" fontId="21" fillId="14" borderId="3" applyAlignment="1" pivotButton="0" quotePrefix="0" xfId="0">
      <alignment horizontal="right" vertical="center"/>
    </xf>
    <xf numFmtId="3" fontId="21" fillId="14" borderId="3" applyAlignment="1" pivotButton="0" quotePrefix="0" xfId="0">
      <alignment horizontal="right" vertical="center"/>
    </xf>
    <xf numFmtId="3" fontId="20" fillId="14" borderId="3" applyAlignment="1" pivotButton="0" quotePrefix="0" xfId="0">
      <alignment horizontal="right" vertical="center"/>
    </xf>
    <xf numFmtId="10" fontId="21" fillId="14" borderId="3" applyAlignment="1" pivotButton="0" quotePrefix="0" xfId="0">
      <alignment horizontal="right" vertical="center"/>
    </xf>
    <xf numFmtId="0" fontId="11" fillId="11" borderId="3" applyAlignment="1" pivotButton="0" quotePrefix="0" xfId="0">
      <alignment horizontal="center" vertical="top"/>
    </xf>
    <xf numFmtId="0" fontId="20" fillId="12" borderId="3" applyAlignment="1" pivotButton="0" quotePrefix="0" xfId="0">
      <alignment horizontal="left" vertical="center" wrapText="1"/>
    </xf>
    <xf numFmtId="0" fontId="21" fillId="12" borderId="3" applyAlignment="1" pivotButton="0" quotePrefix="0" xfId="0">
      <alignment horizontal="center" vertical="center" wrapText="1"/>
    </xf>
    <xf numFmtId="0" fontId="20" fillId="13" borderId="3" applyAlignment="1" pivotButton="0" quotePrefix="0" xfId="0">
      <alignment horizontal="left" vertical="center" wrapText="1"/>
    </xf>
    <xf numFmtId="0" fontId="21" fillId="13" borderId="3" applyAlignment="1" pivotButton="0" quotePrefix="0" xfId="0">
      <alignment horizontal="center" vertical="center" wrapText="1"/>
    </xf>
    <xf numFmtId="0" fontId="11" fillId="1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C29" sqref="C29"/>
    </sheetView>
  </sheetViews>
  <sheetFormatPr baseColWidth="8" defaultRowHeight="14.4"/>
  <cols>
    <col width="10" customWidth="1" min="1" max="1"/>
    <col width="62" bestFit="1" customWidth="1" min="2" max="2"/>
    <col width="28" customWidth="1" min="3" max="3"/>
    <col width="22" customWidth="1" min="4" max="4"/>
    <col width="14" customWidth="1" min="5" max="6"/>
    <col width="90" customWidth="1" min="7" max="7"/>
  </cols>
  <sheetData>
    <row r="2" ht="18" customHeight="1">
      <c r="B2" s="1" t="inlineStr">
        <is>
          <t>DATABASE OPERASIONAL &amp; TELEMETRI SCADA</t>
        </is>
      </c>
    </row>
    <row r="3">
      <c r="B3" s="2" t="inlineStr">
        <is>
          <t>PT. Pionir Nusantara Sukses - Bulk Mixing &amp; Drying Plant (20 Ton/Jam)</t>
        </is>
      </c>
    </row>
    <row r="5" ht="28.05" customHeight="1">
      <c r="B5" s="3" t="inlineStr">
        <is>
          <t>No</t>
        </is>
      </c>
      <c r="C5" s="3" t="inlineStr">
        <is>
          <t>Nama Tabel</t>
        </is>
      </c>
      <c r="D5" s="3" t="inlineStr">
        <is>
          <t>Kategori Entitas</t>
        </is>
      </c>
      <c r="E5" s="3" t="inlineStr">
        <is>
          <t>Jumlah Kolom</t>
        </is>
      </c>
      <c r="F5" s="3" t="inlineStr">
        <is>
          <t>Jumlah Data</t>
        </is>
      </c>
      <c r="G5" s="3" t="inlineStr">
        <is>
          <t>Deskripsi Fungsional</t>
        </is>
      </c>
    </row>
    <row r="6" ht="22.05" customHeight="1">
      <c r="B6" s="4" t="n">
        <v>1</v>
      </c>
      <c r="C6" s="5" t="inlineStr">
        <is>
          <t>master_bahan_baku</t>
        </is>
      </c>
      <c r="D6" s="6" t="inlineStr">
        <is>
          <t>Master Reference</t>
        </is>
      </c>
      <c r="E6" s="4" t="n">
        <v>10</v>
      </c>
      <c r="F6" s="4" t="n">
        <v>10</v>
      </c>
      <c r="G6" s="6" t="inlineStr">
        <is>
          <t>Katalog bahan baku, densitas ruah (Bulk Density), formulasi (80:15:5), harga beli &amp; safety stock.</t>
        </is>
      </c>
    </row>
    <row r="7" ht="22.05" customHeight="1">
      <c r="B7" s="7" t="n">
        <v>2</v>
      </c>
      <c r="C7" s="8" t="inlineStr">
        <is>
          <t>master_fasilitas_storage</t>
        </is>
      </c>
      <c r="D7" s="9" t="inlineStr">
        <is>
          <t>Master Reference</t>
        </is>
      </c>
      <c r="E7" s="7" t="n">
        <v>10</v>
      </c>
      <c r="F7" s="7" t="n">
        <v>10</v>
      </c>
      <c r="G7" s="9" t="inlineStr">
        <is>
          <t>Spesifikasi fisik stockpile (134.4T &amp; 120.96T), tangki aditif, rotary dryer, dan Bin Silo 72 m³.</t>
        </is>
      </c>
    </row>
    <row r="8" ht="22.05" customHeight="1">
      <c r="B8" s="4" t="n">
        <v>3</v>
      </c>
      <c r="C8" s="5" t="inlineStr">
        <is>
          <t>log_logistik_inbound</t>
        </is>
      </c>
      <c r="D8" s="6" t="inlineStr">
        <is>
          <t>Transactional Fact</t>
        </is>
      </c>
      <c r="E8" s="4" t="n">
        <v>12</v>
      </c>
      <c r="F8" s="4" t="n">
        <v>10</v>
      </c>
      <c r="G8" s="6" t="inlineStr">
        <is>
          <t>Pencatatan ritase truk tronton bahan mentah masuk (@ 30T), jembatan timbang, dan alokasi bay stockpile.</t>
        </is>
      </c>
    </row>
    <row r="9" ht="22.05" customHeight="1">
      <c r="B9" s="7" t="n">
        <v>4</v>
      </c>
      <c r="C9" s="8" t="inlineStr">
        <is>
          <t>log_logistik_outbound</t>
        </is>
      </c>
      <c r="D9" s="9" t="inlineStr">
        <is>
          <t>Transactional Fact</t>
        </is>
      </c>
      <c r="E9" s="7" t="n">
        <v>12</v>
      </c>
      <c r="F9" s="7" t="n">
        <v>10</v>
      </c>
      <c r="G9" s="9" t="inlineStr">
        <is>
          <t>Pencatatan pengiriman truk produk jadi dari Bin Silo (ritme 2 jam), surat jalan, dan buffer level.</t>
        </is>
      </c>
    </row>
    <row r="10" ht="22.05" customHeight="1">
      <c r="B10" s="4" t="n">
        <v>5</v>
      </c>
      <c r="C10" s="5" t="inlineStr">
        <is>
          <t>telemetri_produksi_scada</t>
        </is>
      </c>
      <c r="D10" s="6" t="inlineStr">
        <is>
          <t>Time-Series Telemetry</t>
        </is>
      </c>
      <c r="E10" s="4" t="n">
        <v>12</v>
      </c>
      <c r="F10" s="4" t="n">
        <v>10</v>
      </c>
      <c r="G10" s="6" t="inlineStr">
        <is>
          <t>Data sensor SCADA per jam: Tonase output (target 20 T/h), suhu rotary dryer (°C), MMBTU gas, dan kWh PLN.</t>
        </is>
      </c>
    </row>
    <row r="11" ht="22.05" customHeight="1">
      <c r="B11" s="7" t="n">
        <v>6</v>
      </c>
      <c r="C11" s="8" t="inlineStr">
        <is>
          <t>biaya_siklus_hpp</t>
        </is>
      </c>
      <c r="D11" s="9" t="inlineStr">
        <is>
          <t>Financial Analytics</t>
        </is>
      </c>
      <c r="E11" s="7" t="n">
        <v>14</v>
      </c>
      <c r="F11" s="7" t="n">
        <v>10</v>
      </c>
      <c r="G11" s="9" t="inlineStr">
        <is>
          <t>Kalkulasi biaya per shift: Bahan baku, komparasi energi PGN vs CNG, listrik, solar forklift, SDM &amp; HPP/Ton.</t>
        </is>
      </c>
    </row>
    <row r="12" ht="22.05" customHeight="1">
      <c r="B12" s="4" t="n">
        <v>7</v>
      </c>
      <c r="C12" s="5" t="inlineStr">
        <is>
          <t>insiden_downtime_bottleneck</t>
        </is>
      </c>
      <c r="D12" s="6" t="inlineStr">
        <is>
          <t>Incident &amp; Loss Fact</t>
        </is>
      </c>
      <c r="E12" s="4" t="n">
        <v>12</v>
      </c>
      <c r="F12" s="4" t="n">
        <v>10</v>
      </c>
      <c r="G12" s="6" t="inlineStr">
        <is>
          <t>Pencatatan kejadian bottleneck (Truk Macet, Mesin Rusak, Lampu Mati), biaya SDM menganggur, penalti burner &amp; lost margin.</t>
        </is>
      </c>
    </row>
    <row r="13" ht="22.05" customHeight="1">
      <c r="B13" s="7" t="n">
        <v>8</v>
      </c>
      <c r="C13" s="8" t="inlineStr">
        <is>
          <t>rekap_kinerja_eksekutif</t>
        </is>
      </c>
      <c r="D13" s="9" t="inlineStr">
        <is>
          <t>Executive KPI Summary</t>
        </is>
      </c>
      <c r="E13" s="7" t="n">
        <v>13</v>
      </c>
      <c r="F13" s="7" t="n">
        <v>10</v>
      </c>
      <c r="G13" s="9" t="inlineStr">
        <is>
          <t>KPI harian Direksi: Output kumulatif, capaian target shift (140T), efisiensi PGN bulanan, kerugian harian, dan progres BEP Capex Rp 5.15 M.</t>
        </is>
      </c>
    </row>
    <row r="14">
      <c r="B14" t="n">
        <v>9</v>
      </c>
      <c r="C14" t="inlineStr">
        <is>
          <t>simulasi_skenario_demand_range</t>
        </is>
      </c>
      <c r="D14" t="inlineStr">
        <is>
          <t>Scenario Simulation</t>
        </is>
      </c>
      <c r="E14" t="n">
        <v>18</v>
      </c>
      <c r="F14" t="n">
        <v>6</v>
      </c>
      <c r="G14" t="inlineStr">
        <is>
          <t>Model simulasi dinamis rentang output multi-level (80T - 420T/hari), 6 skenario lonjakan komersial &amp; tender masif pemerintah, analisis logistik armada truk (@30T), HPP, omzet, laba kotor, working capital cash flow (TOP 30/60/90 hari), 8 dinamika industri lokal Indonesia, dan timeline jadwal dispatch per jam.</t>
        </is>
      </c>
    </row>
    <row r="16">
      <c r="B16" s="10" t="inlineStr">
        <is>
          <t>PARAMETER BENCHMARK TEKNIS &amp; FINANSIAL PABRIK (EXCEL AUDIT):</t>
        </is>
      </c>
    </row>
    <row r="17">
      <c r="B17" s="11" t="inlineStr">
        <is>
          <t>Kapasitas Desain Pabrik</t>
        </is>
      </c>
      <c r="C17" s="12" t="inlineStr">
        <is>
          <t>20.00 Ton / Jam (140.00 Ton per shift 7 jam)</t>
        </is>
      </c>
    </row>
    <row r="18">
      <c r="B18" s="11" t="inlineStr">
        <is>
          <t>Target Bulanan</t>
        </is>
      </c>
      <c r="C18" s="12" t="inlineStr">
        <is>
          <t>3,500.00 Ton (25 Hari Kerja) s.d. 4,200.00 Ton (30 Hari Kerja)</t>
        </is>
      </c>
    </row>
    <row r="19">
      <c r="B19" s="11" t="inlineStr">
        <is>
          <t>Komposisi Formulasi</t>
        </is>
      </c>
      <c r="C19" s="12" t="inlineStr">
        <is>
          <t>80% Bentonite (BJ 0.8) | 15% Calsium Carbonate (BJ 2.8) | 5% Soda Ash (BJ 1.13)</t>
        </is>
      </c>
    </row>
    <row r="20">
      <c r="B20" s="11" t="inlineStr">
        <is>
          <t>Daya Tampung Stockpile 1 (Bentonite)</t>
        </is>
      </c>
      <c r="C20" s="12" t="inlineStr">
        <is>
          <t>134.40 Ton (Habis dalam 8.40 Jam Operasi Penuh jika pasokan terputus)</t>
        </is>
      </c>
    </row>
    <row r="21">
      <c r="B21" s="11" t="inlineStr">
        <is>
          <t>Daya Tampung Stockpile 2 (Calsium)</t>
        </is>
      </c>
      <c r="C21" s="12" t="inlineStr">
        <is>
          <t>120.96 Ton (Habis dalam 40.32 Jam Operasi Penuh)</t>
        </is>
      </c>
    </row>
    <row r="22">
      <c r="B22" s="11" t="inlineStr">
        <is>
          <t>Kapasitas Bin Silo Produk Akhir</t>
        </is>
      </c>
      <c r="C22" s="12" t="inlineStr">
        <is>
          <t>72.00 m³ (65.58 s.d. 86.40 Ton) -&gt; Buffer holding time: 3.28 s.d. 4.32 Jam</t>
        </is>
      </c>
    </row>
    <row r="23">
      <c r="B23" s="11" t="inlineStr">
        <is>
          <t>Ritme Pengiriman Produk Jadi</t>
        </is>
      </c>
      <c r="C23" s="12" t="inlineStr">
        <is>
          <t>Wajib loading truk (@ 30 Ton) setiap 2 jam sekali agar Silo tidak meluap</t>
        </is>
      </c>
    </row>
    <row r="24">
      <c r="B24" s="11" t="inlineStr">
        <is>
          <t>Disparitas Energi PGN vs CNG</t>
        </is>
      </c>
      <c r="C24" s="12" t="inlineStr">
        <is>
          <t>PGN $13.00/MMBTU (Rp 79,930/t) vs CNG $15.15/MMBTU (Rp 95,301/t) -&gt; Hemat Rp 53.8 Juta/Bulan</t>
        </is>
      </c>
    </row>
    <row r="25">
      <c r="B25" s="11" t="inlineStr">
        <is>
          <t>Biaya Investasi Awal (Capex)</t>
        </is>
      </c>
      <c r="C25" s="12" t="inlineStr">
        <is>
          <t>Rp 5,150,000,000 (Target Balik Modal BEP: 4.7 s.d. 12.3 Bulan)</t>
        </is>
      </c>
    </row>
    <row r="26">
      <c r="B26" s="11" t="inlineStr">
        <is>
          <t>Beban SDM Shift Menganggur</t>
        </is>
      </c>
      <c r="C26" s="12" t="inlineStr">
        <is>
          <t>Rp 382,143 per jam downtime (Alokasi 10 personil operasional = Rp 66,875,000/bulan)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pane ySplit="2" topLeftCell="A3" activePane="bottomLeft" state="frozen"/>
      <selection pane="bottomLeft" activeCell="E18" sqref="E18"/>
    </sheetView>
  </sheetViews>
  <sheetFormatPr baseColWidth="8" defaultRowHeight="14.4"/>
  <cols>
    <col width="15" customWidth="1" min="1" max="1"/>
    <col width="36" customWidth="1" min="2" max="2"/>
    <col width="22" customWidth="1" min="3" max="4"/>
    <col width="27" customWidth="1" min="5" max="5"/>
    <col width="23" customWidth="1" min="6" max="6"/>
    <col width="19" customWidth="1" min="7" max="7"/>
    <col width="21" customWidth="1" min="8" max="8"/>
    <col width="19" customWidth="1" min="9" max="9"/>
    <col width="37" customWidth="1" min="10" max="10"/>
  </cols>
  <sheetData>
    <row r="1" ht="24" customHeight="1">
      <c r="A1" s="13" t="inlineStr">
        <is>
          <t>TABEL: MASTER_BAHAN_BAKU</t>
        </is>
      </c>
    </row>
    <row r="2" ht="28.05" customHeight="1">
      <c r="A2" s="3" t="inlineStr">
        <is>
          <t>id_bahan</t>
        </is>
      </c>
      <c r="B2" s="3" t="inlineStr">
        <is>
          <t>nama_bahan</t>
        </is>
      </c>
      <c r="C2" s="3" t="inlineStr">
        <is>
          <t>kategori</t>
        </is>
      </c>
      <c r="D2" s="3" t="inlineStr">
        <is>
          <t>bulk_density_t_m3</t>
        </is>
      </c>
      <c r="E2" s="3" t="inlineStr">
        <is>
          <t>persentase_formula_pct</t>
        </is>
      </c>
      <c r="F2" s="3" t="inlineStr">
        <is>
          <t>harga_satuan_rp_kg</t>
        </is>
      </c>
      <c r="G2" s="3" t="inlineStr">
        <is>
          <t>satuan_standar</t>
        </is>
      </c>
      <c r="H2" s="3" t="inlineStr">
        <is>
          <t>safety_stock_ton</t>
        </is>
      </c>
      <c r="I2" s="3" t="inlineStr">
        <is>
          <t>lead_time_hari</t>
        </is>
      </c>
      <c r="J2" s="3" t="inlineStr">
        <is>
          <t>supplier_utama</t>
        </is>
      </c>
    </row>
    <row r="3" ht="19.95" customHeight="1">
      <c r="A3" s="14" t="inlineStr">
        <is>
          <t>RM-BEN-01</t>
        </is>
      </c>
      <c r="B3" s="15" t="inlineStr">
        <is>
          <t>Bentonite Clay Curah</t>
        </is>
      </c>
      <c r="C3" s="15" t="inlineStr">
        <is>
          <t>Bahan Baku Utama</t>
        </is>
      </c>
      <c r="D3" s="16" t="n">
        <v>0.8</v>
      </c>
      <c r="E3" s="17" t="n">
        <v>80</v>
      </c>
      <c r="F3" s="18" t="n">
        <v>3650</v>
      </c>
      <c r="G3" s="14" t="inlineStr">
        <is>
          <t>Kg</t>
        </is>
      </c>
      <c r="H3" s="16" t="n">
        <v>50</v>
      </c>
      <c r="I3" s="19" t="n">
        <v>1</v>
      </c>
      <c r="J3" s="15" t="inlineStr">
        <is>
          <t>PT. Indo Mineral Resources</t>
        </is>
      </c>
    </row>
    <row r="4" ht="19.95" customHeight="1">
      <c r="A4" s="20" t="inlineStr">
        <is>
          <t>RM-CAL-02</t>
        </is>
      </c>
      <c r="B4" s="21" t="inlineStr">
        <is>
          <t>Calsium Carbonate (CaCO3)</t>
        </is>
      </c>
      <c r="C4" s="21" t="inlineStr">
        <is>
          <t>Bahan Baku Utama</t>
        </is>
      </c>
      <c r="D4" s="22" t="n">
        <v>2.8</v>
      </c>
      <c r="E4" s="23" t="n">
        <v>15</v>
      </c>
      <c r="F4" s="24" t="n">
        <v>2750</v>
      </c>
      <c r="G4" s="20" t="inlineStr">
        <is>
          <t>Kg</t>
        </is>
      </c>
      <c r="H4" s="22" t="n">
        <v>30</v>
      </c>
      <c r="I4" s="25" t="n">
        <v>3</v>
      </c>
      <c r="J4" s="21" t="inlineStr">
        <is>
          <t>PT. Padalarang Kalsium Nusantara</t>
        </is>
      </c>
    </row>
    <row r="5" ht="19.95" customHeight="1">
      <c r="A5" s="14" t="inlineStr">
        <is>
          <t>RM-SDA-03</t>
        </is>
      </c>
      <c r="B5" s="15" t="inlineStr">
        <is>
          <t>Soda Ash Dense (Na2CO3)</t>
        </is>
      </c>
      <c r="C5" s="15" t="inlineStr">
        <is>
          <t>Aditif Aktivasi</t>
        </is>
      </c>
      <c r="D5" s="16" t="n">
        <v>1.13</v>
      </c>
      <c r="E5" s="17" t="n">
        <v>5</v>
      </c>
      <c r="F5" s="18" t="n">
        <v>5000</v>
      </c>
      <c r="G5" s="14" t="inlineStr">
        <is>
          <t>Kg</t>
        </is>
      </c>
      <c r="H5" s="16" t="n">
        <v>10</v>
      </c>
      <c r="I5" s="19" t="n">
        <v>7</v>
      </c>
      <c r="J5" s="15" t="inlineStr">
        <is>
          <t>PT. Solvay Alkali Indonesia</t>
        </is>
      </c>
    </row>
    <row r="6" ht="19.95" customHeight="1">
      <c r="A6" s="20" t="inlineStr">
        <is>
          <t>RM-SDAL-04</t>
        </is>
      </c>
      <c r="B6" s="21" t="inlineStr">
        <is>
          <t>Soda Ash Light</t>
        </is>
      </c>
      <c r="C6" s="21" t="inlineStr">
        <is>
          <t>Aditif Alternatif</t>
        </is>
      </c>
      <c r="D6" s="22" t="n">
        <v>0.65</v>
      </c>
      <c r="E6" s="23" t="n">
        <v>0</v>
      </c>
      <c r="F6" s="24" t="n">
        <v>5200</v>
      </c>
      <c r="G6" s="20" t="inlineStr">
        <is>
          <t>Kg</t>
        </is>
      </c>
      <c r="H6" s="22" t="n">
        <v>5</v>
      </c>
      <c r="I6" s="25" t="n">
        <v>7</v>
      </c>
      <c r="J6" s="21" t="inlineStr">
        <is>
          <t>PT. Kimia Aditif Pratama</t>
        </is>
      </c>
    </row>
    <row r="7" ht="19.95" customHeight="1">
      <c r="A7" s="14" t="inlineStr">
        <is>
          <t>RM-QCK-05</t>
        </is>
      </c>
      <c r="B7" s="15" t="inlineStr">
        <is>
          <t>Quicklime (CaO Active)</t>
        </is>
      </c>
      <c r="C7" s="15" t="inlineStr">
        <is>
          <t>Aditif Stabilizer</t>
        </is>
      </c>
      <c r="D7" s="16" t="n">
        <v>1.05</v>
      </c>
      <c r="E7" s="17" t="n">
        <v>0</v>
      </c>
      <c r="F7" s="18" t="n">
        <v>3100</v>
      </c>
      <c r="G7" s="14" t="inlineStr">
        <is>
          <t>Kg</t>
        </is>
      </c>
      <c r="H7" s="16" t="n">
        <v>10</v>
      </c>
      <c r="I7" s="19" t="n">
        <v>4</v>
      </c>
      <c r="J7" s="15" t="inlineStr">
        <is>
          <t>PT. Gamping Mas Sejahtera</t>
        </is>
      </c>
    </row>
    <row r="8" ht="19.95" customHeight="1">
      <c r="A8" s="20" t="inlineStr">
        <is>
          <t>RM-KAO-06</t>
        </is>
      </c>
      <c r="B8" s="21" t="inlineStr">
        <is>
          <t>Kaolin Powder</t>
        </is>
      </c>
      <c r="C8" s="21" t="inlineStr">
        <is>
          <t>Binder Sekunder</t>
        </is>
      </c>
      <c r="D8" s="22" t="n">
        <v>1.2</v>
      </c>
      <c r="E8" s="23" t="n">
        <v>0</v>
      </c>
      <c r="F8" s="24" t="n">
        <v>2900</v>
      </c>
      <c r="G8" s="20" t="inlineStr">
        <is>
          <t>Kg</t>
        </is>
      </c>
      <c r="H8" s="22" t="n">
        <v>15</v>
      </c>
      <c r="I8" s="25" t="n">
        <v>5</v>
      </c>
      <c r="J8" s="21" t="inlineStr">
        <is>
          <t>PT. Kaolin Bumi Sriwijaya</t>
        </is>
      </c>
    </row>
    <row r="9" ht="19.95" customHeight="1">
      <c r="A9" s="14" t="inlineStr">
        <is>
          <t>PK-JMB-07</t>
        </is>
      </c>
      <c r="B9" s="15" t="inlineStr">
        <is>
          <t>Jumbo Bag 1 Ton Polypropylene</t>
        </is>
      </c>
      <c r="C9" s="15" t="inlineStr">
        <is>
          <t>Kemasan</t>
        </is>
      </c>
      <c r="D9" s="16" t="n">
        <v>0</v>
      </c>
      <c r="E9" s="17" t="n">
        <v>0</v>
      </c>
      <c r="F9" s="18" t="n">
        <v>85000</v>
      </c>
      <c r="G9" s="14" t="inlineStr">
        <is>
          <t>Pcs</t>
        </is>
      </c>
      <c r="H9" s="16" t="n">
        <v>500</v>
      </c>
      <c r="I9" s="19" t="n">
        <v>10</v>
      </c>
      <c r="J9" s="15" t="inlineStr">
        <is>
          <t>PT. Polychem Kemas Lestari</t>
        </is>
      </c>
    </row>
    <row r="10" ht="19.95" customHeight="1">
      <c r="A10" s="20" t="inlineStr">
        <is>
          <t>PK-PLT-08</t>
        </is>
      </c>
      <c r="B10" s="21" t="inlineStr">
        <is>
          <t>Palet Kayu ISPM 15 Standar</t>
        </is>
      </c>
      <c r="C10" s="21" t="inlineStr">
        <is>
          <t>Penyangga</t>
        </is>
      </c>
      <c r="D10" s="22" t="n">
        <v>0</v>
      </c>
      <c r="E10" s="23" t="n">
        <v>0</v>
      </c>
      <c r="F10" s="24" t="n">
        <v>125000</v>
      </c>
      <c r="G10" s="20" t="inlineStr">
        <is>
          <t>Pcs</t>
        </is>
      </c>
      <c r="H10" s="22" t="n">
        <v>200</v>
      </c>
      <c r="I10" s="25" t="n">
        <v>14</v>
      </c>
      <c r="J10" s="21" t="inlineStr">
        <is>
          <t>PT. Palet Kreasi Mandiri</t>
        </is>
      </c>
    </row>
    <row r="11" ht="19.95" customHeight="1">
      <c r="A11" s="14" t="inlineStr">
        <is>
          <t>EN-PGN-09</t>
        </is>
      </c>
      <c r="B11" s="15" t="inlineStr">
        <is>
          <t>Gas Alam Pipa (PGN $13/MMBTU)</t>
        </is>
      </c>
      <c r="C11" s="15" t="inlineStr">
        <is>
          <t>Energi Burner</t>
        </is>
      </c>
      <c r="D11" s="16" t="n">
        <v>0</v>
      </c>
      <c r="E11" s="17" t="n">
        <v>0</v>
      </c>
      <c r="F11" s="18" t="n">
        <v>234000</v>
      </c>
      <c r="G11" s="14" t="inlineStr">
        <is>
          <t>MMBTU</t>
        </is>
      </c>
      <c r="H11" s="16" t="n">
        <v>1500</v>
      </c>
      <c r="I11" s="19" t="n">
        <v>0</v>
      </c>
      <c r="J11" s="15" t="inlineStr">
        <is>
          <t>PT. Perusahaan Gas Negara</t>
        </is>
      </c>
    </row>
    <row r="12" ht="19.95" customHeight="1">
      <c r="A12" s="20" t="inlineStr">
        <is>
          <t>EN-CNG-10</t>
        </is>
      </c>
      <c r="B12" s="21" t="inlineStr">
        <is>
          <t>Compressed Natural Gas ($15.15)</t>
        </is>
      </c>
      <c r="C12" s="21" t="inlineStr">
        <is>
          <t>Energi Cadangan</t>
        </is>
      </c>
      <c r="D12" s="22" t="n">
        <v>0</v>
      </c>
      <c r="E12" s="23" t="n">
        <v>0</v>
      </c>
      <c r="F12" s="24" t="n">
        <v>279000</v>
      </c>
      <c r="G12" s="20" t="inlineStr">
        <is>
          <t>MMBTU</t>
        </is>
      </c>
      <c r="H12" s="22" t="n">
        <v>1500</v>
      </c>
      <c r="I12" s="25" t="n">
        <v>1</v>
      </c>
      <c r="J12" s="21" t="inlineStr">
        <is>
          <t>PT. CNG Hilir Utama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7" customWidth="1" min="1" max="1"/>
    <col width="34" customWidth="1" min="2" max="2"/>
    <col width="22" customWidth="1" min="3" max="3"/>
    <col width="20" customWidth="1" min="4" max="4"/>
    <col width="14" customWidth="1" min="5" max="5"/>
    <col width="23" customWidth="1" min="6" max="6"/>
    <col width="20" customWidth="1" min="7" max="7"/>
    <col width="25" customWidth="1" min="8" max="8"/>
    <col width="20" customWidth="1" min="9" max="9"/>
    <col width="23" customWidth="1" min="10" max="10"/>
  </cols>
  <sheetData>
    <row r="1" ht="24" customHeight="1">
      <c r="A1" s="13" t="inlineStr">
        <is>
          <t>TABEL: MASTER_FASILITAS_STORAGE</t>
        </is>
      </c>
    </row>
    <row r="2" ht="28.05" customHeight="1">
      <c r="A2" s="3" t="inlineStr">
        <is>
          <t>id_fasilitas</t>
        </is>
      </c>
      <c r="B2" s="3" t="inlineStr">
        <is>
          <t>nama_fasilitas</t>
        </is>
      </c>
      <c r="C2" s="3" t="inlineStr">
        <is>
          <t>tipe_aset</t>
        </is>
      </c>
      <c r="D2" s="3" t="inlineStr">
        <is>
          <t>dimensi_pxlxt_m</t>
        </is>
      </c>
      <c r="E2" s="3" t="inlineStr">
        <is>
          <t>volume_m3</t>
        </is>
      </c>
      <c r="F2" s="3" t="inlineStr">
        <is>
          <t>kapasitas_maks_ton</t>
        </is>
      </c>
      <c r="G2" s="3" t="inlineStr">
        <is>
          <t>buffer_time_jam</t>
        </is>
      </c>
      <c r="H2" s="3" t="inlineStr">
        <is>
          <t>lokasi_plant</t>
        </is>
      </c>
      <c r="I2" s="3" t="inlineStr">
        <is>
          <t>daya_listrik_kw</t>
        </is>
      </c>
      <c r="J2" s="3" t="inlineStr">
        <is>
          <t>status_operasional</t>
        </is>
      </c>
    </row>
    <row r="3" ht="19.95" customHeight="1">
      <c r="A3" s="14" t="inlineStr">
        <is>
          <t>ST-SP-01</t>
        </is>
      </c>
      <c r="B3" s="15" t="inlineStr">
        <is>
          <t>Stockpile 1 (Bentonite Curah)</t>
        </is>
      </c>
      <c r="C3" s="15" t="inlineStr">
        <is>
          <t>Stockpile Yard</t>
        </is>
      </c>
      <c r="D3" s="14" t="inlineStr">
        <is>
          <t>18 x 6 x 3</t>
        </is>
      </c>
      <c r="E3" s="16" t="n">
        <v>324</v>
      </c>
      <c r="F3" s="16" t="n">
        <v>134.4</v>
      </c>
      <c r="G3" s="16" t="n">
        <v>8.4</v>
      </c>
      <c r="H3" s="15" t="inlineStr">
        <is>
          <t>Yard Utara (Bay 1)</t>
        </is>
      </c>
      <c r="I3" s="16" t="n">
        <v>0</v>
      </c>
      <c r="J3" s="14" t="inlineStr">
        <is>
          <t>Aktif</t>
        </is>
      </c>
    </row>
    <row r="4" ht="19.95" customHeight="1">
      <c r="A4" s="20" t="inlineStr">
        <is>
          <t>ST-SP-02</t>
        </is>
      </c>
      <c r="B4" s="21" t="inlineStr">
        <is>
          <t>Stockpile 2 (Calsium Curah)</t>
        </is>
      </c>
      <c r="C4" s="21" t="inlineStr">
        <is>
          <t>Stockpile Yard</t>
        </is>
      </c>
      <c r="D4" s="20" t="inlineStr">
        <is>
          <t>6 x 6 x 3</t>
        </is>
      </c>
      <c r="E4" s="22" t="n">
        <v>108</v>
      </c>
      <c r="F4" s="22" t="n">
        <v>120.96</v>
      </c>
      <c r="G4" s="22" t="n">
        <v>40.32</v>
      </c>
      <c r="H4" s="21" t="inlineStr">
        <is>
          <t>Yard Utara (Bay 2)</t>
        </is>
      </c>
      <c r="I4" s="22" t="n">
        <v>0</v>
      </c>
      <c r="J4" s="20" t="inlineStr">
        <is>
          <t>Aktif</t>
        </is>
      </c>
    </row>
    <row r="5" ht="19.95" customHeight="1">
      <c r="A5" s="14" t="inlineStr">
        <is>
          <t>ST-TK-03</t>
        </is>
      </c>
      <c r="B5" s="15" t="inlineStr">
        <is>
          <t>Tangki Dosing Soda Ash</t>
        </is>
      </c>
      <c r="C5" s="15" t="inlineStr">
        <is>
          <t>Dosing Tank</t>
        </is>
      </c>
      <c r="D5" s="14" t="inlineStr">
        <is>
          <t>Dia 3 x 4</t>
        </is>
      </c>
      <c r="E5" s="16" t="n">
        <v>28.26</v>
      </c>
      <c r="F5" s="16" t="n">
        <v>31.93</v>
      </c>
      <c r="G5" s="16" t="n">
        <v>31.93</v>
      </c>
      <c r="H5" s="15" t="inlineStr">
        <is>
          <t>Batching Plant Area</t>
        </is>
      </c>
      <c r="I5" s="16" t="n">
        <v>5.5</v>
      </c>
      <c r="J5" s="14" t="inlineStr">
        <is>
          <t>Aktif</t>
        </is>
      </c>
    </row>
    <row r="6" ht="19.95" customHeight="1">
      <c r="A6" s="20" t="inlineStr">
        <is>
          <t>EQ-FL-01</t>
        </is>
      </c>
      <c r="B6" s="21" t="inlineStr">
        <is>
          <t>Forklift Diesel Komatsu 3 Ton</t>
        </is>
      </c>
      <c r="C6" s="21" t="inlineStr">
        <is>
          <t>Transport Unit</t>
        </is>
      </c>
      <c r="D6" s="20" t="inlineStr">
        <is>
          <t>3.5 x 1.2 x 2.1</t>
        </is>
      </c>
      <c r="E6" s="22" t="n">
        <v>0</v>
      </c>
      <c r="F6" s="22" t="n">
        <v>3</v>
      </c>
      <c r="G6" s="22" t="n">
        <v>0</v>
      </c>
      <c r="H6" s="21" t="inlineStr">
        <is>
          <t>Yard ke Hopper</t>
        </is>
      </c>
      <c r="I6" s="22" t="n">
        <v>35</v>
      </c>
      <c r="J6" s="20" t="inlineStr">
        <is>
          <t>Aktif</t>
        </is>
      </c>
    </row>
    <row r="7" ht="19.95" customHeight="1">
      <c r="A7" s="14" t="inlineStr">
        <is>
          <t>EQ-HP-01</t>
        </is>
      </c>
      <c r="B7" s="15" t="inlineStr">
        <is>
          <t>Hopper &amp; Weight Feeder</t>
        </is>
      </c>
      <c r="C7" s="15" t="inlineStr">
        <is>
          <t>Continuous Feeder</t>
        </is>
      </c>
      <c r="D7" s="14" t="inlineStr">
        <is>
          <t>4 x 3 x 3.5</t>
        </is>
      </c>
      <c r="E7" s="16" t="n">
        <v>30</v>
      </c>
      <c r="F7" s="16" t="n">
        <v>25</v>
      </c>
      <c r="G7" s="16" t="n">
        <v>1.25</v>
      </c>
      <c r="H7" s="15" t="inlineStr">
        <is>
          <t>Lantai Feeding</t>
        </is>
      </c>
      <c r="I7" s="16" t="n">
        <v>15</v>
      </c>
      <c r="J7" s="14" t="inlineStr">
        <is>
          <t>Aktif</t>
        </is>
      </c>
    </row>
    <row r="8" ht="19.95" customHeight="1">
      <c r="A8" s="20" t="inlineStr">
        <is>
          <t>EQ-RD-01</t>
        </is>
      </c>
      <c r="B8" s="21" t="inlineStr">
        <is>
          <t>Rotary Drum Dryer 20 T/h</t>
        </is>
      </c>
      <c r="C8" s="21" t="inlineStr">
        <is>
          <t>Reaktor Pengering</t>
        </is>
      </c>
      <c r="D8" s="20" t="inlineStr">
        <is>
          <t>18 x Dia 2.5</t>
        </is>
      </c>
      <c r="E8" s="22" t="n">
        <v>88.34999999999999</v>
      </c>
      <c r="F8" s="22" t="n">
        <v>20</v>
      </c>
      <c r="G8" s="22" t="n">
        <v>1</v>
      </c>
      <c r="H8" s="21" t="inlineStr">
        <is>
          <t>Furnace Area</t>
        </is>
      </c>
      <c r="I8" s="22" t="n">
        <v>55</v>
      </c>
      <c r="J8" s="20" t="inlineStr">
        <is>
          <t>Aktif</t>
        </is>
      </c>
    </row>
    <row r="9" ht="19.95" customHeight="1">
      <c r="A9" s="14" t="inlineStr">
        <is>
          <t>EQ-BN-01</t>
        </is>
      </c>
      <c r="B9" s="15" t="inlineStr">
        <is>
          <t>Dual-Fuel Burner (PGN/CNG)</t>
        </is>
      </c>
      <c r="C9" s="15" t="inlineStr">
        <is>
          <t>Pemanas Burner</t>
        </is>
      </c>
      <c r="D9" s="14" t="inlineStr">
        <is>
          <t>2 x 1.5 x 1.5</t>
        </is>
      </c>
      <c r="E9" s="16" t="n">
        <v>0</v>
      </c>
      <c r="F9" s="16" t="n">
        <v>0</v>
      </c>
      <c r="G9" s="16" t="n">
        <v>0</v>
      </c>
      <c r="H9" s="15" t="inlineStr">
        <is>
          <t>Ruang Pembakaran</t>
        </is>
      </c>
      <c r="I9" s="16" t="n">
        <v>7.5</v>
      </c>
      <c r="J9" s="14" t="inlineStr">
        <is>
          <t>Aktif</t>
        </is>
      </c>
    </row>
    <row r="10" ht="19.95" customHeight="1">
      <c r="A10" s="20" t="inlineStr">
        <is>
          <t>EQ-CV-01</t>
        </is>
      </c>
      <c r="B10" s="21" t="inlineStr">
        <is>
          <t>Conveyor Belt System (1-4)</t>
        </is>
      </c>
      <c r="C10" s="21" t="inlineStr">
        <is>
          <t>Belt Conveyor</t>
        </is>
      </c>
      <c r="D10" s="20" t="inlineStr">
        <is>
          <t>45 x 0.8 x 0.5</t>
        </is>
      </c>
      <c r="E10" s="22" t="n">
        <v>0</v>
      </c>
      <c r="F10" s="22" t="n">
        <v>25</v>
      </c>
      <c r="G10" s="22" t="n">
        <v>0</v>
      </c>
      <c r="H10" s="21" t="inlineStr">
        <is>
          <t>Jalur Dryer-Silo</t>
        </is>
      </c>
      <c r="I10" s="22" t="n">
        <v>18.5</v>
      </c>
      <c r="J10" s="20" t="inlineStr">
        <is>
          <t>Aktif</t>
        </is>
      </c>
    </row>
    <row r="11" ht="19.95" customHeight="1">
      <c r="A11" s="14" t="inlineStr">
        <is>
          <t>ST-SL-01</t>
        </is>
      </c>
      <c r="B11" s="15" t="inlineStr">
        <is>
          <t>Bin Silo Produk Akhir</t>
        </is>
      </c>
      <c r="C11" s="15" t="inlineStr">
        <is>
          <t>Storage Silo</t>
        </is>
      </c>
      <c r="D11" s="14" t="inlineStr">
        <is>
          <t>Dia 4 x 6</t>
        </is>
      </c>
      <c r="E11" s="16" t="n">
        <v>72</v>
      </c>
      <c r="F11" s="16" t="n">
        <v>86.40000000000001</v>
      </c>
      <c r="G11" s="16" t="n">
        <v>4.32</v>
      </c>
      <c r="H11" s="15" t="inlineStr">
        <is>
          <t>Outbound Loading Bay</t>
        </is>
      </c>
      <c r="I11" s="16" t="n">
        <v>11</v>
      </c>
      <c r="J11" s="14" t="inlineStr">
        <is>
          <t>Aktif</t>
        </is>
      </c>
    </row>
    <row r="12" ht="19.95" customHeight="1">
      <c r="A12" s="20" t="inlineStr">
        <is>
          <t>EQ-WB-01</t>
        </is>
      </c>
      <c r="B12" s="21" t="inlineStr">
        <is>
          <t>Jembatan Timbang Truk 60 Ton</t>
        </is>
      </c>
      <c r="C12" s="21" t="inlineStr">
        <is>
          <t>Timbangan</t>
        </is>
      </c>
      <c r="D12" s="20" t="inlineStr">
        <is>
          <t>16 x 3.2 x 0.5</t>
        </is>
      </c>
      <c r="E12" s="22" t="n">
        <v>0</v>
      </c>
      <c r="F12" s="22" t="n">
        <v>60</v>
      </c>
      <c r="G12" s="22" t="n">
        <v>0</v>
      </c>
      <c r="H12" s="21" t="inlineStr">
        <is>
          <t>Pintu Gerbang Utama</t>
        </is>
      </c>
      <c r="I12" s="22" t="n">
        <v>3</v>
      </c>
      <c r="J12" s="20" t="inlineStr">
        <is>
          <t>Aktif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9" customWidth="1" min="2" max="2"/>
    <col width="14" customWidth="1" min="3" max="3"/>
    <col width="19" customWidth="1" min="4" max="4"/>
    <col width="30" customWidth="1" min="5" max="5"/>
    <col width="24" customWidth="1" min="6" max="6"/>
    <col width="26" customWidth="1" min="7" max="7"/>
    <col width="19" customWidth="1" min="8" max="8"/>
    <col width="18" customWidth="1" min="9" max="9"/>
    <col width="20" customWidth="1" min="10" max="10"/>
    <col width="24" customWidth="1" min="11" max="11"/>
    <col width="14" customWidth="1" min="12" max="12"/>
  </cols>
  <sheetData>
    <row r="1" ht="24" customHeight="1">
      <c r="A1" s="13" t="inlineStr">
        <is>
          <t>TABEL: LOG_LOGISTIK_INBOUND</t>
        </is>
      </c>
    </row>
    <row r="2" ht="28.05" customHeight="1">
      <c r="A2" s="3" t="inlineStr">
        <is>
          <t>id_inbound</t>
        </is>
      </c>
      <c r="B2" s="3" t="inlineStr">
        <is>
          <t>no_surat_jalan</t>
        </is>
      </c>
      <c r="C2" s="3" t="inlineStr">
        <is>
          <t>id_bahan</t>
        </is>
      </c>
      <c r="D2" s="3" t="inlineStr">
        <is>
          <t>no_polisi_truk</t>
        </is>
      </c>
      <c r="E2" s="3" t="inlineStr">
        <is>
          <t>nama_transporter</t>
        </is>
      </c>
      <c r="F2" s="3" t="inlineStr">
        <is>
          <t>waktu_timbang_masuk</t>
        </is>
      </c>
      <c r="G2" s="3" t="inlineStr">
        <is>
          <t>waktu_selesai_bongkar</t>
        </is>
      </c>
      <c r="H2" s="3" t="inlineStr">
        <is>
          <t>berat_bruto_kg</t>
        </is>
      </c>
      <c r="I2" s="3" t="inlineStr">
        <is>
          <t>berat_tara_kg</t>
        </is>
      </c>
      <c r="J2" s="3" t="inlineStr">
        <is>
          <t>berat_netto_ton</t>
        </is>
      </c>
      <c r="K2" s="3" t="inlineStr">
        <is>
          <t>id_fasilitas_tujuan</t>
        </is>
      </c>
      <c r="L2" s="3" t="inlineStr">
        <is>
          <t>status_qc</t>
        </is>
      </c>
    </row>
    <row r="3" ht="19.95" customHeight="1">
      <c r="A3" s="14" t="inlineStr">
        <is>
          <t>INB-261001-01</t>
        </is>
      </c>
      <c r="B3" s="15" t="inlineStr">
        <is>
          <t>SJ-IMR-88901</t>
        </is>
      </c>
      <c r="C3" s="14" t="inlineStr">
        <is>
          <t>RM-BEN-01</t>
        </is>
      </c>
      <c r="D3" s="14" t="inlineStr">
        <is>
          <t>B 9421 UYT</t>
        </is>
      </c>
      <c r="E3" s="15" t="inlineStr">
        <is>
          <t>PT. Lintas Logistik Prima</t>
        </is>
      </c>
      <c r="F3" s="26" t="inlineStr">
        <is>
          <t>2026-10-01 06:15:00</t>
        </is>
      </c>
      <c r="G3" s="26" t="inlineStr">
        <is>
          <t>2026-10-01 07:05:00</t>
        </is>
      </c>
      <c r="H3" s="19" t="n">
        <v>44250</v>
      </c>
      <c r="I3" s="19" t="n">
        <v>14200</v>
      </c>
      <c r="J3" s="16" t="n">
        <v>30.05</v>
      </c>
      <c r="K3" s="14" t="inlineStr">
        <is>
          <t>ST-SP-01</t>
        </is>
      </c>
      <c r="L3" s="14" t="inlineStr">
        <is>
          <t>PASSED</t>
        </is>
      </c>
    </row>
    <row r="4" ht="19.95" customHeight="1">
      <c r="A4" s="20" t="inlineStr">
        <is>
          <t>INB-261001-02</t>
        </is>
      </c>
      <c r="B4" s="21" t="inlineStr">
        <is>
          <t>SJ-IMR-88902</t>
        </is>
      </c>
      <c r="C4" s="20" t="inlineStr">
        <is>
          <t>RM-BEN-01</t>
        </is>
      </c>
      <c r="D4" s="20" t="inlineStr">
        <is>
          <t>B 9112 PKO</t>
        </is>
      </c>
      <c r="E4" s="21" t="inlineStr">
        <is>
          <t>PT. Lintas Logistik Prima</t>
        </is>
      </c>
      <c r="F4" s="27" t="inlineStr">
        <is>
          <t>2026-10-01 07:45:00</t>
        </is>
      </c>
      <c r="G4" s="27" t="inlineStr">
        <is>
          <t>2026-10-01 08:30:00</t>
        </is>
      </c>
      <c r="H4" s="25" t="n">
        <v>44180</v>
      </c>
      <c r="I4" s="25" t="n">
        <v>14150</v>
      </c>
      <c r="J4" s="22" t="n">
        <v>30.03</v>
      </c>
      <c r="K4" s="20" t="inlineStr">
        <is>
          <t>ST-SP-01</t>
        </is>
      </c>
      <c r="L4" s="20" t="inlineStr">
        <is>
          <t>PASSED</t>
        </is>
      </c>
    </row>
    <row r="5" ht="19.95" customHeight="1">
      <c r="A5" s="14" t="inlineStr">
        <is>
          <t>INB-261001-03</t>
        </is>
      </c>
      <c r="B5" s="15" t="inlineStr">
        <is>
          <t>SJ-PKN-45120</t>
        </is>
      </c>
      <c r="C5" s="14" t="inlineStr">
        <is>
          <t>RM-CAL-02</t>
        </is>
      </c>
      <c r="D5" s="14" t="inlineStr">
        <is>
          <t>D 9833 KLA</t>
        </is>
      </c>
      <c r="E5" s="15" t="inlineStr">
        <is>
          <t>CV. Sumber Kalsium Abadi</t>
        </is>
      </c>
      <c r="F5" s="26" t="inlineStr">
        <is>
          <t>2026-10-01 08:30:00</t>
        </is>
      </c>
      <c r="G5" s="26" t="inlineStr">
        <is>
          <t>2026-10-01 09:20:00</t>
        </is>
      </c>
      <c r="H5" s="19" t="n">
        <v>45100</v>
      </c>
      <c r="I5" s="19" t="n">
        <v>15020</v>
      </c>
      <c r="J5" s="16" t="n">
        <v>30.08</v>
      </c>
      <c r="K5" s="14" t="inlineStr">
        <is>
          <t>ST-SP-02</t>
        </is>
      </c>
      <c r="L5" s="14" t="inlineStr">
        <is>
          <t>PASSED</t>
        </is>
      </c>
    </row>
    <row r="6" ht="19.95" customHeight="1">
      <c r="A6" s="20" t="inlineStr">
        <is>
          <t>INB-261001-04</t>
        </is>
      </c>
      <c r="B6" s="21" t="inlineStr">
        <is>
          <t>SJ-IMR-88903</t>
        </is>
      </c>
      <c r="C6" s="20" t="inlineStr">
        <is>
          <t>RM-BEN-01</t>
        </is>
      </c>
      <c r="D6" s="20" t="inlineStr">
        <is>
          <t>B 9554 TYA</t>
        </is>
      </c>
      <c r="E6" s="21" t="inlineStr">
        <is>
          <t>PT. Lintas Logistik Prima</t>
        </is>
      </c>
      <c r="F6" s="27" t="inlineStr">
        <is>
          <t>2026-10-01 09:40:00</t>
        </is>
      </c>
      <c r="G6" s="27" t="inlineStr">
        <is>
          <t>2026-10-01 10:25:00</t>
        </is>
      </c>
      <c r="H6" s="25" t="n">
        <v>44320</v>
      </c>
      <c r="I6" s="25" t="n">
        <v>14310</v>
      </c>
      <c r="J6" s="22" t="n">
        <v>30.01</v>
      </c>
      <c r="K6" s="20" t="inlineStr">
        <is>
          <t>ST-SP-01</t>
        </is>
      </c>
      <c r="L6" s="20" t="inlineStr">
        <is>
          <t>PASSED</t>
        </is>
      </c>
    </row>
    <row r="7" ht="19.95" customHeight="1">
      <c r="A7" s="14" t="inlineStr">
        <is>
          <t>INB-261001-05</t>
        </is>
      </c>
      <c r="B7" s="15" t="inlineStr">
        <is>
          <t>SJ-SOL-11029</t>
        </is>
      </c>
      <c r="C7" s="14" t="inlineStr">
        <is>
          <t>RM-SDA-03</t>
        </is>
      </c>
      <c r="D7" s="14" t="inlineStr">
        <is>
          <t>L 8120 UVY</t>
        </is>
      </c>
      <c r="E7" s="15" t="inlineStr">
        <is>
          <t>PT. Samudera Kimia Trans</t>
        </is>
      </c>
      <c r="F7" s="26" t="inlineStr">
        <is>
          <t>2026-10-01 10:15:00</t>
        </is>
      </c>
      <c r="G7" s="26" t="inlineStr">
        <is>
          <t>2026-10-01 11:00:00</t>
        </is>
      </c>
      <c r="H7" s="19" t="n">
        <v>28500</v>
      </c>
      <c r="I7" s="19" t="n">
        <v>8500</v>
      </c>
      <c r="J7" s="16" t="n">
        <v>20</v>
      </c>
      <c r="K7" s="14" t="inlineStr">
        <is>
          <t>ST-TK-03</t>
        </is>
      </c>
      <c r="L7" s="14" t="inlineStr">
        <is>
          <t>PASSED</t>
        </is>
      </c>
    </row>
    <row r="8" ht="19.95" customHeight="1">
      <c r="A8" s="20" t="inlineStr">
        <is>
          <t>INB-261001-06</t>
        </is>
      </c>
      <c r="B8" s="21" t="inlineStr">
        <is>
          <t>SJ-IMR-88904</t>
        </is>
      </c>
      <c r="C8" s="20" t="inlineStr">
        <is>
          <t>RM-BEN-01</t>
        </is>
      </c>
      <c r="D8" s="20" t="inlineStr">
        <is>
          <t>B 9230 ZXT</t>
        </is>
      </c>
      <c r="E8" s="21" t="inlineStr">
        <is>
          <t>PT. Lintas Logistik Prima</t>
        </is>
      </c>
      <c r="F8" s="27" t="inlineStr">
        <is>
          <t>2026-10-01 11:30:00</t>
        </is>
      </c>
      <c r="G8" s="27" t="inlineStr">
        <is>
          <t>2026-10-01 12:20:00</t>
        </is>
      </c>
      <c r="H8" s="25" t="n">
        <v>44290</v>
      </c>
      <c r="I8" s="25" t="n">
        <v>14240</v>
      </c>
      <c r="J8" s="22" t="n">
        <v>30.05</v>
      </c>
      <c r="K8" s="20" t="inlineStr">
        <is>
          <t>ST-SP-01</t>
        </is>
      </c>
      <c r="L8" s="20" t="inlineStr">
        <is>
          <t>PASSED</t>
        </is>
      </c>
    </row>
    <row r="9" ht="19.95" customHeight="1">
      <c r="A9" s="14" t="inlineStr">
        <is>
          <t>INB-261001-07</t>
        </is>
      </c>
      <c r="B9" s="15" t="inlineStr">
        <is>
          <t>SJ-IMR-88905</t>
        </is>
      </c>
      <c r="C9" s="14" t="inlineStr">
        <is>
          <t>RM-BEN-01</t>
        </is>
      </c>
      <c r="D9" s="14" t="inlineStr">
        <is>
          <t>B 9771 MNQ</t>
        </is>
      </c>
      <c r="E9" s="15" t="inlineStr">
        <is>
          <t>PT. Lintas Logistik Prima</t>
        </is>
      </c>
      <c r="F9" s="26" t="inlineStr">
        <is>
          <t>2026-10-01 13:15:00</t>
        </is>
      </c>
      <c r="G9" s="26" t="inlineStr">
        <is>
          <t>2026-10-01 14:05:00</t>
        </is>
      </c>
      <c r="H9" s="19" t="n">
        <v>44150</v>
      </c>
      <c r="I9" s="19" t="n">
        <v>14190</v>
      </c>
      <c r="J9" s="16" t="n">
        <v>29.96</v>
      </c>
      <c r="K9" s="14" t="inlineStr">
        <is>
          <t>ST-SP-01</t>
        </is>
      </c>
      <c r="L9" s="14" t="inlineStr">
        <is>
          <t>PASSED</t>
        </is>
      </c>
    </row>
    <row r="10" ht="19.95" customHeight="1">
      <c r="A10" s="20" t="inlineStr">
        <is>
          <t>INB-261002-01</t>
        </is>
      </c>
      <c r="B10" s="21" t="inlineStr">
        <is>
          <t>SJ-IMR-88910</t>
        </is>
      </c>
      <c r="C10" s="20" t="inlineStr">
        <is>
          <t>RM-BEN-01</t>
        </is>
      </c>
      <c r="D10" s="20" t="inlineStr">
        <is>
          <t>B 9421 UYT</t>
        </is>
      </c>
      <c r="E10" s="21" t="inlineStr">
        <is>
          <t>PT. Lintas Logistik Prima</t>
        </is>
      </c>
      <c r="F10" s="27" t="inlineStr">
        <is>
          <t>2026-10-02 06:20:00</t>
        </is>
      </c>
      <c r="G10" s="27" t="inlineStr">
        <is>
          <t>2026-10-02 07:10:00</t>
        </is>
      </c>
      <c r="H10" s="25" t="n">
        <v>44300</v>
      </c>
      <c r="I10" s="25" t="n">
        <v>14220</v>
      </c>
      <c r="J10" s="22" t="n">
        <v>30.08</v>
      </c>
      <c r="K10" s="20" t="inlineStr">
        <is>
          <t>ST-SP-01</t>
        </is>
      </c>
      <c r="L10" s="20" t="inlineStr">
        <is>
          <t>PASSED</t>
        </is>
      </c>
    </row>
    <row r="11" ht="19.95" customHeight="1">
      <c r="A11" s="14" t="inlineStr">
        <is>
          <t>INB-261002-02</t>
        </is>
      </c>
      <c r="B11" s="15" t="inlineStr">
        <is>
          <t>SJ-IMR-88911</t>
        </is>
      </c>
      <c r="C11" s="14" t="inlineStr">
        <is>
          <t>RM-BEN-01</t>
        </is>
      </c>
      <c r="D11" s="14" t="inlineStr">
        <is>
          <t>B 9112 PKO</t>
        </is>
      </c>
      <c r="E11" s="15" t="inlineStr">
        <is>
          <t>PT. Lintas Logistik Prima</t>
        </is>
      </c>
      <c r="F11" s="26" t="inlineStr">
        <is>
          <t>2026-10-02 07:50:00</t>
        </is>
      </c>
      <c r="G11" s="26" t="inlineStr">
        <is>
          <t>2026-10-02 08:35:00</t>
        </is>
      </c>
      <c r="H11" s="19" t="n">
        <v>44210</v>
      </c>
      <c r="I11" s="19" t="n">
        <v>14180</v>
      </c>
      <c r="J11" s="16" t="n">
        <v>30.03</v>
      </c>
      <c r="K11" s="14" t="inlineStr">
        <is>
          <t>ST-SP-01</t>
        </is>
      </c>
      <c r="L11" s="14" t="inlineStr">
        <is>
          <t>PASSED</t>
        </is>
      </c>
    </row>
    <row r="12" ht="19.95" customHeight="1">
      <c r="A12" s="20" t="inlineStr">
        <is>
          <t>INB-261002-03</t>
        </is>
      </c>
      <c r="B12" s="21" t="inlineStr">
        <is>
          <t>SJ-IMR-88912</t>
        </is>
      </c>
      <c r="C12" s="20" t="inlineStr">
        <is>
          <t>RM-BEN-01</t>
        </is>
      </c>
      <c r="D12" s="20" t="inlineStr">
        <is>
          <t>B 9554 TYA</t>
        </is>
      </c>
      <c r="E12" s="21" t="inlineStr">
        <is>
          <t>PT. Lintas Logistik Prima</t>
        </is>
      </c>
      <c r="F12" s="27" t="inlineStr">
        <is>
          <t>2026-10-02 09:30:00</t>
        </is>
      </c>
      <c r="G12" s="27" t="inlineStr">
        <is>
          <t>2026-10-02 10:15:00</t>
        </is>
      </c>
      <c r="H12" s="25" t="n">
        <v>44190</v>
      </c>
      <c r="I12" s="25" t="n">
        <v>14200</v>
      </c>
      <c r="J12" s="22" t="n">
        <v>29.99</v>
      </c>
      <c r="K12" s="20" t="inlineStr">
        <is>
          <t>ST-SP-01</t>
        </is>
      </c>
      <c r="L12" s="20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8" customWidth="1" min="1" max="1"/>
    <col width="23" customWidth="1" min="2" max="2"/>
    <col width="34" customWidth="1" min="3" max="3"/>
    <col width="19" customWidth="1" min="4" max="4"/>
    <col width="22" customWidth="1" min="5" max="5"/>
    <col width="24" customWidth="1" min="6" max="6"/>
    <col width="27" customWidth="1" min="7" max="8"/>
    <col width="22" customWidth="1" min="9" max="9"/>
    <col width="27" customWidth="1" min="10" max="10"/>
    <col width="20" customWidth="1" min="11" max="11"/>
    <col width="22" customWidth="1" min="12" max="12"/>
  </cols>
  <sheetData>
    <row r="1" ht="24" customHeight="1">
      <c r="A1" s="13" t="inlineStr">
        <is>
          <t>TABEL: LOG_LOGISTIK_OUTBOUND</t>
        </is>
      </c>
    </row>
    <row r="2" ht="28.05" customHeight="1">
      <c r="A2" s="3" t="inlineStr">
        <is>
          <t>id_outbound</t>
        </is>
      </c>
      <c r="B2" s="3" t="inlineStr">
        <is>
          <t>no_surat_jalan_out</t>
        </is>
      </c>
      <c r="C2" s="3" t="inlineStr">
        <is>
          <t>nama_customer</t>
        </is>
      </c>
      <c r="D2" s="3" t="inlineStr">
        <is>
          <t>no_polisi_truk</t>
        </is>
      </c>
      <c r="E2" s="3" t="inlineStr">
        <is>
          <t>id_fasilitas_asal</t>
        </is>
      </c>
      <c r="F2" s="3" t="inlineStr">
        <is>
          <t>waktu_mulai_loading</t>
        </is>
      </c>
      <c r="G2" s="3" t="inlineStr">
        <is>
          <t>waktu_selesai_dispatch</t>
        </is>
      </c>
      <c r="H2" s="3" t="inlineStr">
        <is>
          <t>level_silo_sebelum_ton</t>
        </is>
      </c>
      <c r="I2" s="3" t="inlineStr">
        <is>
          <t>tonase_keluar_ton</t>
        </is>
      </c>
      <c r="J2" s="3" t="inlineStr">
        <is>
          <t>level_silo_sesudah_ton</t>
        </is>
      </c>
      <c r="K2" s="3" t="inlineStr">
        <is>
          <t>tipe_pengiriman</t>
        </is>
      </c>
      <c r="L2" s="3" t="inlineStr">
        <is>
          <t>status_pengiriman</t>
        </is>
      </c>
    </row>
    <row r="3" ht="19.95" customHeight="1">
      <c r="A3" s="14" t="inlineStr">
        <is>
          <t>OUT-261001-01</t>
        </is>
      </c>
      <c r="B3" s="15" t="inlineStr">
        <is>
          <t>SJ-OUT-1001</t>
        </is>
      </c>
      <c r="C3" s="15" t="inlineStr">
        <is>
          <t>PT. Semen Nusantara Utama</t>
        </is>
      </c>
      <c r="D3" s="14" t="inlineStr">
        <is>
          <t>L 9921 AB</t>
        </is>
      </c>
      <c r="E3" s="14" t="inlineStr">
        <is>
          <t>ST-SL-01</t>
        </is>
      </c>
      <c r="F3" s="26" t="inlineStr">
        <is>
          <t>2026-10-01 08:30:00</t>
        </is>
      </c>
      <c r="G3" s="26" t="inlineStr">
        <is>
          <t>2026-10-01 09:05:00</t>
        </is>
      </c>
      <c r="H3" s="16" t="n">
        <v>40</v>
      </c>
      <c r="I3" s="16" t="n">
        <v>30</v>
      </c>
      <c r="J3" s="16" t="n">
        <v>10</v>
      </c>
      <c r="K3" s="14" t="inlineStr">
        <is>
          <t>Bulk Silo Truck</t>
        </is>
      </c>
      <c r="L3" s="14" t="inlineStr">
        <is>
          <t>DISPATCHED</t>
        </is>
      </c>
    </row>
    <row r="4" ht="19.95" customHeight="1">
      <c r="A4" s="20" t="inlineStr">
        <is>
          <t>OUT-261001-02</t>
        </is>
      </c>
      <c r="B4" s="21" t="inlineStr">
        <is>
          <t>SJ-OUT-1002</t>
        </is>
      </c>
      <c r="C4" s="21" t="inlineStr">
        <is>
          <t>PT. Pengecoran Logam Perkasa</t>
        </is>
      </c>
      <c r="D4" s="20" t="inlineStr">
        <is>
          <t>B 9340 TYU</t>
        </is>
      </c>
      <c r="E4" s="20" t="inlineStr">
        <is>
          <t>ST-SL-01</t>
        </is>
      </c>
      <c r="F4" s="27" t="inlineStr">
        <is>
          <t>2026-10-01 10:30:00</t>
        </is>
      </c>
      <c r="G4" s="27" t="inlineStr">
        <is>
          <t>2026-10-01 11:00:00</t>
        </is>
      </c>
      <c r="H4" s="22" t="n">
        <v>50</v>
      </c>
      <c r="I4" s="22" t="n">
        <v>30</v>
      </c>
      <c r="J4" s="22" t="n">
        <v>20</v>
      </c>
      <c r="K4" s="20" t="inlineStr">
        <is>
          <t>Bulk Silo Truck</t>
        </is>
      </c>
      <c r="L4" s="20" t="inlineStr">
        <is>
          <t>DISPATCHED</t>
        </is>
      </c>
    </row>
    <row r="5" ht="19.95" customHeight="1">
      <c r="A5" s="14" t="inlineStr">
        <is>
          <t>OUT-261001-03</t>
        </is>
      </c>
      <c r="B5" s="15" t="inlineStr">
        <is>
          <t>SJ-OUT-1003</t>
        </is>
      </c>
      <c r="C5" s="15" t="inlineStr">
        <is>
          <t>PT. Geoteknik Fondasi Mandiri</t>
        </is>
      </c>
      <c r="D5" s="14" t="inlineStr">
        <is>
          <t>W 8820 PO</t>
        </is>
      </c>
      <c r="E5" s="14" t="inlineStr">
        <is>
          <t>ST-SL-01</t>
        </is>
      </c>
      <c r="F5" s="26" t="inlineStr">
        <is>
          <t>2026-10-01 12:30:00</t>
        </is>
      </c>
      <c r="G5" s="26" t="inlineStr">
        <is>
          <t>2026-10-01 13:05:00</t>
        </is>
      </c>
      <c r="H5" s="16" t="n">
        <v>60</v>
      </c>
      <c r="I5" s="16" t="n">
        <v>30</v>
      </c>
      <c r="J5" s="16" t="n">
        <v>30</v>
      </c>
      <c r="K5" s="14" t="inlineStr">
        <is>
          <t>Bulk Silo Truck</t>
        </is>
      </c>
      <c r="L5" s="14" t="inlineStr">
        <is>
          <t>DISPATCHED</t>
        </is>
      </c>
    </row>
    <row r="6" ht="19.95" customHeight="1">
      <c r="A6" s="20" t="inlineStr">
        <is>
          <t>OUT-261001-04</t>
        </is>
      </c>
      <c r="B6" s="21" t="inlineStr">
        <is>
          <t>SJ-OUT-1004</t>
        </is>
      </c>
      <c r="C6" s="21" t="inlineStr">
        <is>
          <t>PT. Pengecoran Logam Perkasa</t>
        </is>
      </c>
      <c r="D6" s="20" t="inlineStr">
        <is>
          <t>N 9122 JK</t>
        </is>
      </c>
      <c r="E6" s="20" t="inlineStr">
        <is>
          <t>ST-SL-01</t>
        </is>
      </c>
      <c r="F6" s="27" t="inlineStr">
        <is>
          <t>2026-10-01 14:30:00</t>
        </is>
      </c>
      <c r="G6" s="27" t="inlineStr">
        <is>
          <t>2026-10-01 15:00:00</t>
        </is>
      </c>
      <c r="H6" s="22" t="n">
        <v>70</v>
      </c>
      <c r="I6" s="22" t="n">
        <v>30</v>
      </c>
      <c r="J6" s="22" t="n">
        <v>40</v>
      </c>
      <c r="K6" s="20" t="inlineStr">
        <is>
          <t>Bulk Silo Truck</t>
        </is>
      </c>
      <c r="L6" s="20" t="inlineStr">
        <is>
          <t>DISPATCHED</t>
        </is>
      </c>
    </row>
    <row r="7" ht="19.95" customHeight="1">
      <c r="A7" s="14" t="inlineStr">
        <is>
          <t>OUT-261001-05</t>
        </is>
      </c>
      <c r="B7" s="15" t="inlineStr">
        <is>
          <t>SJ-OUT-1005</t>
        </is>
      </c>
      <c r="C7" s="15" t="inlineStr">
        <is>
          <t>PT. Semen Nusantara Utama</t>
        </is>
      </c>
      <c r="D7" s="14" t="inlineStr">
        <is>
          <t>L 9921 AB</t>
        </is>
      </c>
      <c r="E7" s="14" t="inlineStr">
        <is>
          <t>ST-SL-01</t>
        </is>
      </c>
      <c r="F7" s="26" t="inlineStr">
        <is>
          <t>2026-10-01 16:00:00</t>
        </is>
      </c>
      <c r="G7" s="26" t="inlineStr">
        <is>
          <t>2026-10-01 16:30:00</t>
        </is>
      </c>
      <c r="H7" s="16" t="n">
        <v>50</v>
      </c>
      <c r="I7" s="16" t="n">
        <v>20</v>
      </c>
      <c r="J7" s="16" t="n">
        <v>30</v>
      </c>
      <c r="K7" s="14" t="inlineStr">
        <is>
          <t>Bulk Silo Truck</t>
        </is>
      </c>
      <c r="L7" s="14" t="inlineStr">
        <is>
          <t>DISPATCHED</t>
        </is>
      </c>
    </row>
    <row r="8" ht="19.95" customHeight="1">
      <c r="A8" s="20" t="inlineStr">
        <is>
          <t>OUT-261002-01</t>
        </is>
      </c>
      <c r="B8" s="21" t="inlineStr">
        <is>
          <t>SJ-OUT-1006</t>
        </is>
      </c>
      <c r="C8" s="21" t="inlineStr">
        <is>
          <t>PT. Geoteknik Fondasi Mandiri</t>
        </is>
      </c>
      <c r="D8" s="20" t="inlineStr">
        <is>
          <t>W 8820 PO</t>
        </is>
      </c>
      <c r="E8" s="20" t="inlineStr">
        <is>
          <t>ST-SL-01</t>
        </is>
      </c>
      <c r="F8" s="27" t="inlineStr">
        <is>
          <t>2026-10-02 08:30:00</t>
        </is>
      </c>
      <c r="G8" s="27" t="inlineStr">
        <is>
          <t>2026-10-02 09:00:00</t>
        </is>
      </c>
      <c r="H8" s="22" t="n">
        <v>45</v>
      </c>
      <c r="I8" s="22" t="n">
        <v>30</v>
      </c>
      <c r="J8" s="22" t="n">
        <v>15</v>
      </c>
      <c r="K8" s="20" t="inlineStr">
        <is>
          <t>Bulk Silo Truck</t>
        </is>
      </c>
      <c r="L8" s="20" t="inlineStr">
        <is>
          <t>DISPATCHED</t>
        </is>
      </c>
    </row>
    <row r="9" ht="19.95" customHeight="1">
      <c r="A9" s="14" t="inlineStr">
        <is>
          <t>OUT-261002-02</t>
        </is>
      </c>
      <c r="B9" s="15" t="inlineStr">
        <is>
          <t>SJ-OUT-1007</t>
        </is>
      </c>
      <c r="C9" s="15" t="inlineStr">
        <is>
          <t>PT. Semen Nusantara Utama</t>
        </is>
      </c>
      <c r="D9" s="14" t="inlineStr">
        <is>
          <t>L 9921 AB</t>
        </is>
      </c>
      <c r="E9" s="14" t="inlineStr">
        <is>
          <t>ST-SL-01</t>
        </is>
      </c>
      <c r="F9" s="26" t="inlineStr">
        <is>
          <t>2026-10-02 10:30:00</t>
        </is>
      </c>
      <c r="G9" s="26" t="inlineStr">
        <is>
          <t>2026-10-02 11:05:00</t>
        </is>
      </c>
      <c r="H9" s="16" t="n">
        <v>55</v>
      </c>
      <c r="I9" s="16" t="n">
        <v>30</v>
      </c>
      <c r="J9" s="16" t="n">
        <v>25</v>
      </c>
      <c r="K9" s="14" t="inlineStr">
        <is>
          <t>Bulk Silo Truck</t>
        </is>
      </c>
      <c r="L9" s="14" t="inlineStr">
        <is>
          <t>DISPATCHED</t>
        </is>
      </c>
    </row>
    <row r="10" ht="19.95" customHeight="1">
      <c r="A10" s="20" t="inlineStr">
        <is>
          <t>OUT-261002-03</t>
        </is>
      </c>
      <c r="B10" s="21" t="inlineStr">
        <is>
          <t>SJ-OUT-1008</t>
        </is>
      </c>
      <c r="C10" s="21" t="inlineStr">
        <is>
          <t>PT. Pengecoran Logam Perkasa</t>
        </is>
      </c>
      <c r="D10" s="20" t="inlineStr">
        <is>
          <t>B 9340 TYU</t>
        </is>
      </c>
      <c r="E10" s="20" t="inlineStr">
        <is>
          <t>ST-SL-01</t>
        </is>
      </c>
      <c r="F10" s="27" t="inlineStr">
        <is>
          <t>2026-10-02 12:30:00</t>
        </is>
      </c>
      <c r="G10" s="27" t="inlineStr">
        <is>
          <t>2026-10-02 13:00:00</t>
        </is>
      </c>
      <c r="H10" s="22" t="n">
        <v>65</v>
      </c>
      <c r="I10" s="22" t="n">
        <v>30</v>
      </c>
      <c r="J10" s="22" t="n">
        <v>35</v>
      </c>
      <c r="K10" s="20" t="inlineStr">
        <is>
          <t>Bulk Silo Truck</t>
        </is>
      </c>
      <c r="L10" s="20" t="inlineStr">
        <is>
          <t>DISPATCHED</t>
        </is>
      </c>
    </row>
    <row r="11" ht="19.95" customHeight="1">
      <c r="A11" s="14" t="inlineStr">
        <is>
          <t>OUT-261002-04</t>
        </is>
      </c>
      <c r="B11" s="15" t="inlineStr">
        <is>
          <t>SJ-OUT-1009</t>
        </is>
      </c>
      <c r="C11" s="15" t="inlineStr">
        <is>
          <t>PT. Agro Kimia Perkasa</t>
        </is>
      </c>
      <c r="D11" s="14" t="inlineStr">
        <is>
          <t>AG 8221 UI</t>
        </is>
      </c>
      <c r="E11" s="14" t="inlineStr">
        <is>
          <t>ST-SL-01</t>
        </is>
      </c>
      <c r="F11" s="26" t="inlineStr">
        <is>
          <t>2026-10-02 14:30:00</t>
        </is>
      </c>
      <c r="G11" s="26" t="inlineStr">
        <is>
          <t>2026-10-02 15:10:00</t>
        </is>
      </c>
      <c r="H11" s="16" t="n">
        <v>75</v>
      </c>
      <c r="I11" s="16" t="n">
        <v>30</v>
      </c>
      <c r="J11" s="16" t="n">
        <v>45</v>
      </c>
      <c r="K11" s="14" t="inlineStr">
        <is>
          <t>Jumbo Bag 1T</t>
        </is>
      </c>
      <c r="L11" s="14" t="inlineStr">
        <is>
          <t>DISPATCHED</t>
        </is>
      </c>
    </row>
    <row r="12" ht="19.95" customHeight="1">
      <c r="A12" s="20" t="inlineStr">
        <is>
          <t>OUT-261002-05</t>
        </is>
      </c>
      <c r="B12" s="21" t="inlineStr">
        <is>
          <t>SJ-OUT-1010</t>
        </is>
      </c>
      <c r="C12" s="21" t="inlineStr">
        <is>
          <t>PT. Semen Nusantara Utama</t>
        </is>
      </c>
      <c r="D12" s="20" t="inlineStr">
        <is>
          <t>N 9122 JK</t>
        </is>
      </c>
      <c r="E12" s="20" t="inlineStr">
        <is>
          <t>ST-SL-01</t>
        </is>
      </c>
      <c r="F12" s="27" t="inlineStr">
        <is>
          <t>2026-10-02 16:15:00</t>
        </is>
      </c>
      <c r="G12" s="27" t="inlineStr">
        <is>
          <t>2026-10-02 16:45:00</t>
        </is>
      </c>
      <c r="H12" s="22" t="n">
        <v>55</v>
      </c>
      <c r="I12" s="22" t="n">
        <v>20</v>
      </c>
      <c r="J12" s="22" t="n">
        <v>35</v>
      </c>
      <c r="K12" s="20" t="inlineStr">
        <is>
          <t>Bulk Silo Truck</t>
        </is>
      </c>
      <c r="L12" s="20" t="inlineStr">
        <is>
          <t>DISPATCHED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B28" sqref="B28"/>
    </sheetView>
  </sheetViews>
  <sheetFormatPr baseColWidth="8" defaultRowHeight="14.4"/>
  <cols>
    <col width="17" customWidth="1" min="1" max="1"/>
    <col width="24" customWidth="1" min="2" max="2"/>
    <col width="16" customWidth="1" min="3" max="3"/>
    <col width="29" customWidth="1" min="4" max="4"/>
    <col width="26" customWidth="1" min="5" max="5"/>
    <col width="24" customWidth="1" min="6" max="6"/>
    <col width="31" customWidth="1" min="7" max="7"/>
    <col width="27" customWidth="1" min="8" max="8"/>
    <col width="25" customWidth="1" min="9" max="9"/>
    <col width="23" customWidth="1" min="10" max="10"/>
    <col width="28" customWidth="1" min="11" max="11"/>
    <col width="18" customWidth="1" min="12" max="12"/>
  </cols>
  <sheetData>
    <row r="1" ht="24" customHeight="1">
      <c r="A1" s="13" t="inlineStr">
        <is>
          <t>TABEL: TELEMETRI_PRODUKSI_SCADA</t>
        </is>
      </c>
    </row>
    <row r="2" ht="28.05" customHeight="1">
      <c r="A2" s="3" t="inlineStr">
        <is>
          <t>id_telemetri</t>
        </is>
      </c>
      <c r="B2" s="3" t="inlineStr">
        <is>
          <t>timestamp_record</t>
        </is>
      </c>
      <c r="C2" s="3" t="inlineStr">
        <is>
          <t>shift_kerja</t>
        </is>
      </c>
      <c r="D2" s="3" t="inlineStr">
        <is>
          <t>target_kapasitas_ton_jam</t>
        </is>
      </c>
      <c r="E2" s="3" t="inlineStr">
        <is>
          <t>aktual_output_ton_jam</t>
        </is>
      </c>
      <c r="F2" s="3" t="inlineStr">
        <is>
          <t>temp_rotary_dryer_c</t>
        </is>
      </c>
      <c r="G2" s="3" t="inlineStr">
        <is>
          <t>burner_flame_intensity_pct</t>
        </is>
      </c>
      <c r="H2" s="3" t="inlineStr">
        <is>
          <t>konsumsi_gas_mmbtu_jam</t>
        </is>
      </c>
      <c r="I2" s="3" t="inlineStr">
        <is>
          <t>konsumsi_listrik_kwh</t>
        </is>
      </c>
      <c r="J2" s="3" t="inlineStr">
        <is>
          <t>conveyor_speed_m_s</t>
        </is>
      </c>
      <c r="K2" s="3" t="inlineStr">
        <is>
          <t>vibrating_screen_status</t>
        </is>
      </c>
      <c r="L2" s="3" t="inlineStr">
        <is>
          <t>kondisi_scada</t>
        </is>
      </c>
    </row>
    <row r="3" ht="19.95" customHeight="1">
      <c r="A3" s="14" t="inlineStr">
        <is>
          <t>SC-261001-07</t>
        </is>
      </c>
      <c r="B3" s="26" t="inlineStr">
        <is>
          <t>2026-10-01 07:00:00</t>
        </is>
      </c>
      <c r="C3" s="14" t="inlineStr">
        <is>
          <t>Shift 1</t>
        </is>
      </c>
      <c r="D3" s="16" t="n">
        <v>20</v>
      </c>
      <c r="E3" s="16" t="n">
        <v>19.8</v>
      </c>
      <c r="F3" s="28" t="n">
        <v>218.5</v>
      </c>
      <c r="G3" s="17" t="n">
        <v>92</v>
      </c>
      <c r="H3" s="16" t="n">
        <v>6.732</v>
      </c>
      <c r="I3" s="16" t="n">
        <v>98.40000000000001</v>
      </c>
      <c r="J3" s="16" t="n">
        <v>1.2</v>
      </c>
      <c r="K3" s="14" t="inlineStr">
        <is>
          <t>NORMAL</t>
        </is>
      </c>
      <c r="L3" s="14" t="inlineStr">
        <is>
          <t>RUNNING</t>
        </is>
      </c>
    </row>
    <row r="4" ht="19.95" customHeight="1">
      <c r="A4" s="20" t="inlineStr">
        <is>
          <t>SC-261001-08</t>
        </is>
      </c>
      <c r="B4" s="27" t="inlineStr">
        <is>
          <t>2026-10-01 08:00:00</t>
        </is>
      </c>
      <c r="C4" s="20" t="inlineStr">
        <is>
          <t>Shift 1</t>
        </is>
      </c>
      <c r="D4" s="22" t="n">
        <v>20</v>
      </c>
      <c r="E4" s="22" t="n">
        <v>20.1</v>
      </c>
      <c r="F4" s="29" t="n">
        <v>222</v>
      </c>
      <c r="G4" s="23" t="n">
        <v>94.5</v>
      </c>
      <c r="H4" s="22" t="n">
        <v>6.834</v>
      </c>
      <c r="I4" s="22" t="n">
        <v>100.2</v>
      </c>
      <c r="J4" s="22" t="n">
        <v>1.25</v>
      </c>
      <c r="K4" s="20" t="inlineStr">
        <is>
          <t>NORMAL</t>
        </is>
      </c>
      <c r="L4" s="20" t="inlineStr">
        <is>
          <t>RUNNING</t>
        </is>
      </c>
    </row>
    <row r="5" ht="19.95" customHeight="1">
      <c r="A5" s="14" t="inlineStr">
        <is>
          <t>SC-261001-09</t>
        </is>
      </c>
      <c r="B5" s="26" t="inlineStr">
        <is>
          <t>2026-10-01 09:00:00</t>
        </is>
      </c>
      <c r="C5" s="14" t="inlineStr">
        <is>
          <t>Shift 1</t>
        </is>
      </c>
      <c r="D5" s="16" t="n">
        <v>20</v>
      </c>
      <c r="E5" s="16" t="n">
        <v>20.05</v>
      </c>
      <c r="F5" s="28" t="n">
        <v>220.8</v>
      </c>
      <c r="G5" s="17" t="n">
        <v>93.8</v>
      </c>
      <c r="H5" s="16" t="n">
        <v>6.817</v>
      </c>
      <c r="I5" s="16" t="n">
        <v>99.8</v>
      </c>
      <c r="J5" s="16" t="n">
        <v>1.25</v>
      </c>
      <c r="K5" s="14" t="inlineStr">
        <is>
          <t>NORMAL</t>
        </is>
      </c>
      <c r="L5" s="14" t="inlineStr">
        <is>
          <t>RUNNING</t>
        </is>
      </c>
    </row>
    <row r="6" ht="19.95" customHeight="1">
      <c r="A6" s="20" t="inlineStr">
        <is>
          <t>SC-261001-10</t>
        </is>
      </c>
      <c r="B6" s="27" t="inlineStr">
        <is>
          <t>2026-10-01 10:00:00</t>
        </is>
      </c>
      <c r="C6" s="20" t="inlineStr">
        <is>
          <t>Shift 1</t>
        </is>
      </c>
      <c r="D6" s="22" t="n">
        <v>20</v>
      </c>
      <c r="E6" s="22" t="n">
        <v>20.2</v>
      </c>
      <c r="F6" s="29" t="n">
        <v>223.1</v>
      </c>
      <c r="G6" s="23" t="n">
        <v>95</v>
      </c>
      <c r="H6" s="22" t="n">
        <v>6.868</v>
      </c>
      <c r="I6" s="22" t="n">
        <v>101.5</v>
      </c>
      <c r="J6" s="22" t="n">
        <v>1.25</v>
      </c>
      <c r="K6" s="20" t="inlineStr">
        <is>
          <t>NORMAL</t>
        </is>
      </c>
      <c r="L6" s="20" t="inlineStr">
        <is>
          <t>RUNNING</t>
        </is>
      </c>
    </row>
    <row r="7" ht="19.95" customHeight="1">
      <c r="A7" s="14" t="inlineStr">
        <is>
          <t>SC-261001-11</t>
        </is>
      </c>
      <c r="B7" s="26" t="inlineStr">
        <is>
          <t>2026-10-01 11:00:00</t>
        </is>
      </c>
      <c r="C7" s="14" t="inlineStr">
        <is>
          <t>Shift 1</t>
        </is>
      </c>
      <c r="D7" s="16" t="n">
        <v>20</v>
      </c>
      <c r="E7" s="16" t="n">
        <v>19.95</v>
      </c>
      <c r="F7" s="28" t="n">
        <v>221.4</v>
      </c>
      <c r="G7" s="17" t="n">
        <v>93.2</v>
      </c>
      <c r="H7" s="16" t="n">
        <v>6.783</v>
      </c>
      <c r="I7" s="16" t="n">
        <v>99.09999999999999</v>
      </c>
      <c r="J7" s="16" t="n">
        <v>1.2</v>
      </c>
      <c r="K7" s="14" t="inlineStr">
        <is>
          <t>NORMAL</t>
        </is>
      </c>
      <c r="L7" s="14" t="inlineStr">
        <is>
          <t>RUNNING</t>
        </is>
      </c>
    </row>
    <row r="8" ht="19.95" customHeight="1">
      <c r="A8" s="20" t="inlineStr">
        <is>
          <t>SC-261001-12</t>
        </is>
      </c>
      <c r="B8" s="27" t="inlineStr">
        <is>
          <t>2026-10-01 12:00:00</t>
        </is>
      </c>
      <c r="C8" s="20" t="inlineStr">
        <is>
          <t>Shift 1</t>
        </is>
      </c>
      <c r="D8" s="22" t="n">
        <v>20</v>
      </c>
      <c r="E8" s="22" t="n">
        <v>19.7</v>
      </c>
      <c r="F8" s="29" t="n">
        <v>219</v>
      </c>
      <c r="G8" s="23" t="n">
        <v>91.5</v>
      </c>
      <c r="H8" s="22" t="n">
        <v>6.698</v>
      </c>
      <c r="I8" s="22" t="n">
        <v>97.59999999999999</v>
      </c>
      <c r="J8" s="22" t="n">
        <v>1.2</v>
      </c>
      <c r="K8" s="20" t="inlineStr">
        <is>
          <t>NORMAL</t>
        </is>
      </c>
      <c r="L8" s="20" t="inlineStr">
        <is>
          <t>RUNNING</t>
        </is>
      </c>
    </row>
    <row r="9" ht="19.95" customHeight="1">
      <c r="A9" s="14" t="inlineStr">
        <is>
          <t>SC-261001-13</t>
        </is>
      </c>
      <c r="B9" s="26" t="inlineStr">
        <is>
          <t>2026-10-01 13:00:00</t>
        </is>
      </c>
      <c r="C9" s="14" t="inlineStr">
        <is>
          <t>Shift 1</t>
        </is>
      </c>
      <c r="D9" s="16" t="n">
        <v>20</v>
      </c>
      <c r="E9" s="16" t="n">
        <v>20.2</v>
      </c>
      <c r="F9" s="28" t="n">
        <v>222.5</v>
      </c>
      <c r="G9" s="17" t="n">
        <v>94</v>
      </c>
      <c r="H9" s="16" t="n">
        <v>6.868</v>
      </c>
      <c r="I9" s="16" t="n">
        <v>100.9</v>
      </c>
      <c r="J9" s="16" t="n">
        <v>1.25</v>
      </c>
      <c r="K9" s="14" t="inlineStr">
        <is>
          <t>NORMAL</t>
        </is>
      </c>
      <c r="L9" s="14" t="inlineStr">
        <is>
          <t>RUNNING</t>
        </is>
      </c>
    </row>
    <row r="10" ht="19.95" customHeight="1">
      <c r="A10" s="20" t="inlineStr">
        <is>
          <t>SC-261002-07</t>
        </is>
      </c>
      <c r="B10" s="27" t="inlineStr">
        <is>
          <t>2026-10-02 07:00:00</t>
        </is>
      </c>
      <c r="C10" s="20" t="inlineStr">
        <is>
          <t>Shift 1</t>
        </is>
      </c>
      <c r="D10" s="22" t="n">
        <v>20</v>
      </c>
      <c r="E10" s="22" t="n">
        <v>19.85</v>
      </c>
      <c r="F10" s="29" t="n">
        <v>219.5</v>
      </c>
      <c r="G10" s="23" t="n">
        <v>92.5</v>
      </c>
      <c r="H10" s="22" t="n">
        <v>6.749</v>
      </c>
      <c r="I10" s="22" t="n">
        <v>98.8</v>
      </c>
      <c r="J10" s="22" t="n">
        <v>1.2</v>
      </c>
      <c r="K10" s="20" t="inlineStr">
        <is>
          <t>NORMAL</t>
        </is>
      </c>
      <c r="L10" s="20" t="inlineStr">
        <is>
          <t>RUNNING</t>
        </is>
      </c>
    </row>
    <row r="11" ht="19.95" customHeight="1">
      <c r="A11" s="14" t="inlineStr">
        <is>
          <t>SC-261002-08</t>
        </is>
      </c>
      <c r="B11" s="26" t="inlineStr">
        <is>
          <t>2026-10-02 08:00:00</t>
        </is>
      </c>
      <c r="C11" s="14" t="inlineStr">
        <is>
          <t>Shift 1</t>
        </is>
      </c>
      <c r="D11" s="16" t="n">
        <v>20</v>
      </c>
      <c r="E11" s="16" t="n">
        <v>20.15</v>
      </c>
      <c r="F11" s="28" t="n">
        <v>221.8</v>
      </c>
      <c r="G11" s="17" t="n">
        <v>94.2</v>
      </c>
      <c r="H11" s="16" t="n">
        <v>6.851</v>
      </c>
      <c r="I11" s="16" t="n">
        <v>100.5</v>
      </c>
      <c r="J11" s="16" t="n">
        <v>1.25</v>
      </c>
      <c r="K11" s="14" t="inlineStr">
        <is>
          <t>NORMAL</t>
        </is>
      </c>
      <c r="L11" s="14" t="inlineStr">
        <is>
          <t>RUNNING</t>
        </is>
      </c>
    </row>
    <row r="12" ht="19.95" customHeight="1">
      <c r="A12" s="20" t="inlineStr">
        <is>
          <t>SC-261002-09</t>
        </is>
      </c>
      <c r="B12" s="27" t="inlineStr">
        <is>
          <t>2026-10-02 09:00:00</t>
        </is>
      </c>
      <c r="C12" s="20" t="inlineStr">
        <is>
          <t>Shift 1</t>
        </is>
      </c>
      <c r="D12" s="22" t="n">
        <v>20</v>
      </c>
      <c r="E12" s="22" t="n">
        <v>12.5</v>
      </c>
      <c r="F12" s="29" t="n">
        <v>195</v>
      </c>
      <c r="G12" s="23" t="n">
        <v>60</v>
      </c>
      <c r="H12" s="22" t="n">
        <v>4.25</v>
      </c>
      <c r="I12" s="22" t="n">
        <v>72.3</v>
      </c>
      <c r="J12" s="22" t="n">
        <v>0.75</v>
      </c>
      <c r="K12" s="20" t="inlineStr">
        <is>
          <t>WARNING</t>
        </is>
      </c>
      <c r="L12" s="20" t="inlineStr">
        <is>
          <t>BOTTLENECK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G1" workbookViewId="0">
      <pane ySplit="2" topLeftCell="A3" activePane="bottomLeft" state="frozen"/>
      <selection pane="bottomLeft" activeCell="N3" sqref="N3"/>
    </sheetView>
  </sheetViews>
  <sheetFormatPr baseColWidth="8" defaultRowHeight="14.4"/>
  <cols>
    <col width="20" customWidth="1" min="1" max="1"/>
    <col width="19" customWidth="1" min="2" max="2"/>
    <col width="16" customWidth="1" min="3" max="3"/>
    <col width="22" customWidth="1" min="4" max="4"/>
    <col width="23" customWidth="1" min="5" max="5"/>
    <col width="26" customWidth="1" min="6" max="6"/>
    <col width="25" customWidth="1" min="7" max="8"/>
    <col width="28" customWidth="1" min="9" max="9"/>
    <col width="19" customWidth="1" min="10" max="10"/>
    <col width="28.44140625" bestFit="1" customWidth="1" min="11" max="11"/>
    <col width="25" customWidth="1" min="12" max="12"/>
    <col width="26" customWidth="1" min="13" max="13"/>
    <col width="28" customWidth="1" min="14" max="14"/>
  </cols>
  <sheetData>
    <row r="1" ht="24" customHeight="1">
      <c r="A1" s="13" t="inlineStr">
        <is>
          <t>TABEL: BIAYA_SIKLUS_HPP</t>
        </is>
      </c>
    </row>
    <row r="2" ht="28.05" customHeight="1">
      <c r="A2" s="3" t="inlineStr">
        <is>
          <t>id_biaya_siklus</t>
        </is>
      </c>
      <c r="B2" s="3" t="inlineStr">
        <is>
          <t>tanggal_siklus</t>
        </is>
      </c>
      <c r="C2" s="3" t="inlineStr">
        <is>
          <t>shift_kerja</t>
        </is>
      </c>
      <c r="D2" s="3" t="inlineStr">
        <is>
          <t>output_tonase_ton</t>
        </is>
      </c>
      <c r="E2" s="3" t="inlineStr">
        <is>
          <t>jenis_energi_aktif</t>
        </is>
      </c>
      <c r="F2" s="3" t="inlineStr">
        <is>
          <t>biaya_raw_material_rp</t>
        </is>
      </c>
      <c r="G2" s="3" t="inlineStr">
        <is>
          <t>biaya_bahan_bakar_rp</t>
        </is>
      </c>
      <c r="H2" s="3" t="inlineStr">
        <is>
          <t>biaya_listrik_pln_rp</t>
        </is>
      </c>
      <c r="I2" s="3" t="inlineStr">
        <is>
          <t>biaya_forklift_solar_rp</t>
        </is>
      </c>
      <c r="J2" s="3" t="inlineStr">
        <is>
          <t>alokasi_sdm_rp</t>
        </is>
      </c>
      <c r="K2" s="3" t="inlineStr">
        <is>
          <t>biaya_maintenance_per_ton_rp</t>
        </is>
      </c>
      <c r="L2" s="3" t="inlineStr">
        <is>
          <t>total_hpp_per_ton_rp</t>
        </is>
      </c>
      <c r="M2" s="3" t="inlineStr">
        <is>
          <t>harga_jual_per_ton_rp</t>
        </is>
      </c>
      <c r="N2" s="3" t="inlineStr">
        <is>
          <t>gross_margin_per_ton_rp</t>
        </is>
      </c>
    </row>
    <row r="3" ht="19.95" customHeight="1">
      <c r="A3" s="14" t="inlineStr">
        <is>
          <t>CST-261001-01</t>
        </is>
      </c>
      <c r="B3" s="30" t="inlineStr">
        <is>
          <t>2026-10-01</t>
        </is>
      </c>
      <c r="C3" s="14" t="inlineStr">
        <is>
          <t>Shift 1</t>
        </is>
      </c>
      <c r="D3" s="16" t="n">
        <v>140</v>
      </c>
      <c r="E3" s="14" t="inlineStr">
        <is>
          <t>PGN</t>
        </is>
      </c>
      <c r="F3" s="18" t="n">
        <v>501550000</v>
      </c>
      <c r="G3" s="18" t="n">
        <v>11190200</v>
      </c>
      <c r="H3" s="18" t="n">
        <v>1011220</v>
      </c>
      <c r="I3" s="18" t="n">
        <v>663320</v>
      </c>
      <c r="J3" s="18" t="n">
        <v>2675000</v>
      </c>
      <c r="K3" s="18" t="n">
        <v>139006</v>
      </c>
      <c r="L3" s="18" t="n">
        <v>3582500</v>
      </c>
      <c r="M3" s="18" t="n">
        <v>4350000</v>
      </c>
      <c r="N3" s="18">
        <f>M3-L3-K3</f>
        <v/>
      </c>
    </row>
    <row r="4" ht="19.95" customHeight="1">
      <c r="A4" s="20" t="inlineStr">
        <is>
          <t>CST-261002-01</t>
        </is>
      </c>
      <c r="B4" s="31" t="inlineStr">
        <is>
          <t>2026-10-02</t>
        </is>
      </c>
      <c r="C4" s="20" t="inlineStr">
        <is>
          <t>Shift 1</t>
        </is>
      </c>
      <c r="D4" s="22" t="n">
        <v>132.5</v>
      </c>
      <c r="E4" s="20" t="inlineStr">
        <is>
          <t>PGN</t>
        </is>
      </c>
      <c r="F4" s="24" t="n">
        <v>474681250</v>
      </c>
      <c r="G4" s="24" t="n">
        <v>10590725</v>
      </c>
      <c r="H4" s="24" t="n">
        <v>957048</v>
      </c>
      <c r="I4" s="24" t="n">
        <v>627785</v>
      </c>
      <c r="J4" s="24" t="n">
        <v>2675000</v>
      </c>
      <c r="K4" s="18" t="n">
        <v>139006</v>
      </c>
      <c r="L4" s="18" t="n">
        <v>3582500</v>
      </c>
      <c r="M4" s="24" t="n">
        <v>4350000</v>
      </c>
      <c r="N4" s="18">
        <f>M4-L4-K4</f>
        <v/>
      </c>
    </row>
    <row r="5" ht="19.95" customHeight="1">
      <c r="A5" s="14" t="inlineStr">
        <is>
          <t>CST-261003-01</t>
        </is>
      </c>
      <c r="B5" s="30" t="inlineStr">
        <is>
          <t>2026-10-03</t>
        </is>
      </c>
      <c r="C5" s="14" t="inlineStr">
        <is>
          <t>Shift 1</t>
        </is>
      </c>
      <c r="D5" s="16" t="n">
        <v>140</v>
      </c>
      <c r="E5" s="14" t="inlineStr">
        <is>
          <t>PGN</t>
        </is>
      </c>
      <c r="F5" s="18" t="n">
        <v>501550000</v>
      </c>
      <c r="G5" s="18" t="n">
        <v>11190200</v>
      </c>
      <c r="H5" s="18" t="n">
        <v>1011220</v>
      </c>
      <c r="I5" s="18" t="n">
        <v>663320</v>
      </c>
      <c r="J5" s="18" t="n">
        <v>2675000</v>
      </c>
      <c r="K5" s="18" t="n">
        <v>139006</v>
      </c>
      <c r="L5" s="18" t="n">
        <v>3582500</v>
      </c>
      <c r="M5" s="18" t="n">
        <v>4350000</v>
      </c>
      <c r="N5" s="18">
        <f>M5-L5-K5</f>
        <v/>
      </c>
    </row>
    <row r="6" ht="19.95" customHeight="1">
      <c r="A6" s="20" t="inlineStr">
        <is>
          <t>CST-261004-01</t>
        </is>
      </c>
      <c r="B6" s="31" t="inlineStr">
        <is>
          <t>2026-10-04</t>
        </is>
      </c>
      <c r="C6" s="20" t="inlineStr">
        <is>
          <t>Shift 1</t>
        </is>
      </c>
      <c r="D6" s="22" t="n">
        <v>140</v>
      </c>
      <c r="E6" s="20" t="inlineStr">
        <is>
          <t>CNG</t>
        </is>
      </c>
      <c r="F6" s="24" t="n">
        <v>501550000</v>
      </c>
      <c r="G6" s="24" t="n">
        <v>13342140</v>
      </c>
      <c r="H6" s="24" t="n">
        <v>1011220</v>
      </c>
      <c r="I6" s="24" t="n">
        <v>663320</v>
      </c>
      <c r="J6" s="24" t="n">
        <v>2675000</v>
      </c>
      <c r="K6" s="18" t="n">
        <v>139006</v>
      </c>
      <c r="L6" s="18" t="n">
        <v>3582500</v>
      </c>
      <c r="M6" s="24" t="n">
        <v>4350000</v>
      </c>
      <c r="N6" s="18">
        <f>M6-L6-K6</f>
        <v/>
      </c>
    </row>
    <row r="7" ht="19.95" customHeight="1">
      <c r="A7" s="14" t="inlineStr">
        <is>
          <t>CST-261005-01</t>
        </is>
      </c>
      <c r="B7" s="30" t="inlineStr">
        <is>
          <t>2026-10-05</t>
        </is>
      </c>
      <c r="C7" s="14" t="inlineStr">
        <is>
          <t>Shift 1</t>
        </is>
      </c>
      <c r="D7" s="16" t="n">
        <v>140</v>
      </c>
      <c r="E7" s="14" t="inlineStr">
        <is>
          <t>PGN</t>
        </is>
      </c>
      <c r="F7" s="18" t="n">
        <v>501550000</v>
      </c>
      <c r="G7" s="18" t="n">
        <v>11190200</v>
      </c>
      <c r="H7" s="18" t="n">
        <v>1011220</v>
      </c>
      <c r="I7" s="18" t="n">
        <v>663320</v>
      </c>
      <c r="J7" s="18" t="n">
        <v>2675000</v>
      </c>
      <c r="K7" s="18" t="n">
        <v>139006</v>
      </c>
      <c r="L7" s="18" t="n">
        <v>3582500</v>
      </c>
      <c r="M7" s="18" t="n">
        <v>4350000</v>
      </c>
      <c r="N7" s="18">
        <f>M7-L7-K7</f>
        <v/>
      </c>
    </row>
    <row r="8" ht="19.95" customHeight="1">
      <c r="A8" s="20" t="inlineStr">
        <is>
          <t>CST-261006-01</t>
        </is>
      </c>
      <c r="B8" s="31" t="inlineStr">
        <is>
          <t>2026-10-06</t>
        </is>
      </c>
      <c r="C8" s="20" t="inlineStr">
        <is>
          <t>Shift 1</t>
        </is>
      </c>
      <c r="D8" s="22" t="n">
        <v>140</v>
      </c>
      <c r="E8" s="20" t="inlineStr">
        <is>
          <t>PGN</t>
        </is>
      </c>
      <c r="F8" s="24" t="n">
        <v>501550000</v>
      </c>
      <c r="G8" s="24" t="n">
        <v>11190200</v>
      </c>
      <c r="H8" s="24" t="n">
        <v>1011220</v>
      </c>
      <c r="I8" s="24" t="n">
        <v>663320</v>
      </c>
      <c r="J8" s="24" t="n">
        <v>2675000</v>
      </c>
      <c r="K8" s="18" t="n">
        <v>139006</v>
      </c>
      <c r="L8" s="18" t="n">
        <v>3582500</v>
      </c>
      <c r="M8" s="24" t="n">
        <v>4350000</v>
      </c>
      <c r="N8" s="18">
        <f>M8-L8-K8</f>
        <v/>
      </c>
    </row>
    <row r="9" ht="19.95" customHeight="1">
      <c r="A9" s="14" t="inlineStr">
        <is>
          <t>CST-261007-01</t>
        </is>
      </c>
      <c r="B9" s="30" t="inlineStr">
        <is>
          <t>2026-10-07</t>
        </is>
      </c>
      <c r="C9" s="14" t="inlineStr">
        <is>
          <t>Shift 1</t>
        </is>
      </c>
      <c r="D9" s="16" t="n">
        <v>140</v>
      </c>
      <c r="E9" s="14" t="inlineStr">
        <is>
          <t>PGN</t>
        </is>
      </c>
      <c r="F9" s="18" t="n">
        <v>501550000</v>
      </c>
      <c r="G9" s="18" t="n">
        <v>11190200</v>
      </c>
      <c r="H9" s="18" t="n">
        <v>1011220</v>
      </c>
      <c r="I9" s="18" t="n">
        <v>663320</v>
      </c>
      <c r="J9" s="18" t="n">
        <v>2675000</v>
      </c>
      <c r="K9" s="18" t="n">
        <v>139006</v>
      </c>
      <c r="L9" s="18" t="n">
        <v>3582500</v>
      </c>
      <c r="M9" s="18" t="n">
        <v>4350000</v>
      </c>
      <c r="N9" s="18">
        <f>M9-L9-K9</f>
        <v/>
      </c>
    </row>
    <row r="10" ht="19.95" customHeight="1">
      <c r="A10" s="20" t="inlineStr">
        <is>
          <t>CST-261008-01</t>
        </is>
      </c>
      <c r="B10" s="31" t="inlineStr">
        <is>
          <t>2026-10-08</t>
        </is>
      </c>
      <c r="C10" s="20" t="inlineStr">
        <is>
          <t>Shift 1</t>
        </is>
      </c>
      <c r="D10" s="22" t="n">
        <v>140</v>
      </c>
      <c r="E10" s="20" t="inlineStr">
        <is>
          <t>PGN</t>
        </is>
      </c>
      <c r="F10" s="24" t="n">
        <v>501550000</v>
      </c>
      <c r="G10" s="24" t="n">
        <v>11190200</v>
      </c>
      <c r="H10" s="24" t="n">
        <v>1011220</v>
      </c>
      <c r="I10" s="24" t="n">
        <v>663320</v>
      </c>
      <c r="J10" s="24" t="n">
        <v>2675000</v>
      </c>
      <c r="K10" s="18" t="n">
        <v>139006</v>
      </c>
      <c r="L10" s="18" t="n">
        <v>3582500</v>
      </c>
      <c r="M10" s="24" t="n">
        <v>4350000</v>
      </c>
      <c r="N10" s="18">
        <f>M10-L10-K10</f>
        <v/>
      </c>
    </row>
    <row r="11" ht="19.95" customHeight="1">
      <c r="A11" s="14" t="inlineStr">
        <is>
          <t>CST-261009-01</t>
        </is>
      </c>
      <c r="B11" s="30" t="inlineStr">
        <is>
          <t>2026-10-09</t>
        </is>
      </c>
      <c r="C11" s="14" t="inlineStr">
        <is>
          <t>Shift 1</t>
        </is>
      </c>
      <c r="D11" s="16" t="n">
        <v>140</v>
      </c>
      <c r="E11" s="14" t="inlineStr">
        <is>
          <t>PGN</t>
        </is>
      </c>
      <c r="F11" s="18" t="n">
        <v>501550000</v>
      </c>
      <c r="G11" s="18" t="n">
        <v>11190200</v>
      </c>
      <c r="H11" s="18" t="n">
        <v>1011220</v>
      </c>
      <c r="I11" s="18" t="n">
        <v>663320</v>
      </c>
      <c r="J11" s="18" t="n">
        <v>2675000</v>
      </c>
      <c r="K11" s="18" t="n">
        <v>139006</v>
      </c>
      <c r="L11" s="18" t="n">
        <v>3582500</v>
      </c>
      <c r="M11" s="18" t="n">
        <v>4350000</v>
      </c>
      <c r="N11" s="18">
        <f>M11-L11-K11</f>
        <v/>
      </c>
    </row>
    <row r="12" ht="19.95" customHeight="1">
      <c r="A12" s="20" t="inlineStr">
        <is>
          <t>CST-261010-01</t>
        </is>
      </c>
      <c r="B12" s="31" t="inlineStr">
        <is>
          <t>2026-10-10</t>
        </is>
      </c>
      <c r="C12" s="20" t="inlineStr">
        <is>
          <t>Shift 1</t>
        </is>
      </c>
      <c r="D12" s="22" t="n">
        <v>140</v>
      </c>
      <c r="E12" s="20" t="inlineStr">
        <is>
          <t>PGN</t>
        </is>
      </c>
      <c r="F12" s="24" t="n">
        <v>501550000</v>
      </c>
      <c r="G12" s="24" t="n">
        <v>11190200</v>
      </c>
      <c r="H12" s="24" t="n">
        <v>1011220</v>
      </c>
      <c r="I12" s="24" t="n">
        <v>663320</v>
      </c>
      <c r="J12" s="24" t="n">
        <v>2675000</v>
      </c>
      <c r="K12" s="18" t="n">
        <v>139006</v>
      </c>
      <c r="L12" s="18" t="n">
        <v>3582500</v>
      </c>
      <c r="M12" s="24" t="n">
        <v>4350000</v>
      </c>
      <c r="N12" s="18">
        <f>M12-L12-K12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E1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18" customWidth="1" min="1" max="1"/>
    <col width="24" customWidth="1" min="2" max="2"/>
    <col width="60" customWidth="1" min="3" max="3"/>
    <col width="24" customWidth="1" min="4" max="5"/>
    <col width="15" customWidth="1" min="6" max="6"/>
    <col width="22" customWidth="1" min="7" max="7"/>
    <col width="28" customWidth="1" min="8" max="8"/>
    <col width="29" customWidth="1" min="9" max="9"/>
    <col width="30" customWidth="1" min="10" max="10"/>
    <col width="22" customWidth="1" min="11" max="11"/>
    <col width="58" customWidth="1" min="12" max="12"/>
  </cols>
  <sheetData>
    <row r="1" ht="24" customHeight="1">
      <c r="A1" s="13" t="inlineStr">
        <is>
          <t>TABEL: INSIDEN_DOWNTIME_BOTTLENECK</t>
        </is>
      </c>
    </row>
    <row r="2" ht="28.05" customHeight="1">
      <c r="A2" s="3" t="inlineStr">
        <is>
          <t>id_insiden</t>
        </is>
      </c>
      <c r="B2" s="3" t="inlineStr">
        <is>
          <t>kategori_bottleneck</t>
        </is>
      </c>
      <c r="C2" s="3" t="inlineStr">
        <is>
          <t>deskripsi_kejadian</t>
        </is>
      </c>
      <c r="D2" s="3" t="inlineStr">
        <is>
          <t>waktu_mulai</t>
        </is>
      </c>
      <c r="E2" s="3" t="inlineStr">
        <is>
          <t>waktu_selesai</t>
        </is>
      </c>
      <c r="F2" s="3" t="inlineStr">
        <is>
          <t>durasi_jam</t>
        </is>
      </c>
      <c r="G2" s="3" t="inlineStr">
        <is>
          <t>output_hilang_ton</t>
        </is>
      </c>
      <c r="H2" s="3" t="inlineStr">
        <is>
          <t>biaya_sdm_menganggur_rp</t>
        </is>
      </c>
      <c r="I2" s="3" t="inlineStr">
        <is>
          <t>bahan_bakar_terbuang_rp</t>
        </is>
      </c>
      <c r="J2" s="3" t="inlineStr">
        <is>
          <t>kehilangan_laba_margin_rp</t>
        </is>
      </c>
      <c r="K2" s="3" t="inlineStr">
        <is>
          <t>total_kerugian_rp</t>
        </is>
      </c>
      <c r="L2" s="3" t="inlineStr">
        <is>
          <t>tindakan_perbaikan</t>
        </is>
      </c>
    </row>
    <row r="3" ht="19.95" customHeight="1">
      <c r="A3" s="14" t="inlineStr">
        <is>
          <t>DWT-261002-01</t>
        </is>
      </c>
      <c r="B3" s="14" t="inlineStr">
        <is>
          <t>Truk Macet</t>
        </is>
      </c>
      <c r="C3" s="15" t="inlineStr">
        <is>
          <t>Keterlambatan Truk Bentonite (Macet Tol Cikampek KM 52)</t>
        </is>
      </c>
      <c r="D3" s="26" t="inlineStr">
        <is>
          <t>2026-10-02 09:15:00</t>
        </is>
      </c>
      <c r="E3" s="26" t="inlineStr">
        <is>
          <t>2026-10-02 12:45:00</t>
        </is>
      </c>
      <c r="F3" s="16" t="n">
        <v>3.5</v>
      </c>
      <c r="G3" s="16" t="n">
        <v>70</v>
      </c>
      <c r="H3" s="18" t="n">
        <v>1337500</v>
      </c>
      <c r="I3" s="18">
        <f>F3*telemetri_produksi_scada!H3*master_bahan_baku!F11</f>
        <v/>
      </c>
      <c r="J3" s="18">
        <f>G3*biaya_siklus_hpp!N3</f>
        <v/>
      </c>
      <c r="K3" s="18">
        <f>SUM(H3:J3)</f>
        <v/>
      </c>
      <c r="L3" s="15" t="inlineStr">
        <is>
          <t>Pengalihan rute armada &amp; koordinasi buffer stockpile</t>
        </is>
      </c>
    </row>
    <row r="4" ht="19.95" customHeight="1">
      <c r="A4" s="20" t="inlineStr">
        <is>
          <t>DWT-261003-02</t>
        </is>
      </c>
      <c r="B4" s="20" t="inlineStr">
        <is>
          <t>Mesin Rusak</t>
        </is>
      </c>
      <c r="C4" s="21" t="inlineStr">
        <is>
          <t>Bearing Roll Rotary Dryer Overheat (Suhu 245°C)</t>
        </is>
      </c>
      <c r="D4" s="27" t="inlineStr">
        <is>
          <t>2026-10-03 13:00:00</t>
        </is>
      </c>
      <c r="E4" s="27" t="inlineStr">
        <is>
          <t>2026-10-03 15:00:00</t>
        </is>
      </c>
      <c r="F4" s="22" t="n">
        <v>2</v>
      </c>
      <c r="G4" s="22" t="n">
        <v>40</v>
      </c>
      <c r="H4" s="24" t="n">
        <v>764286</v>
      </c>
      <c r="I4" s="24">
        <f>F4*telemetri_produksi_scada!H4*master_bahan_baku!F11</f>
        <v/>
      </c>
      <c r="J4" s="18">
        <f>G4*biaya_siklus_hpp!N4</f>
        <v/>
      </c>
      <c r="K4" s="18">
        <f>SUM(H4:J4)</f>
        <v/>
      </c>
      <c r="L4" s="21" t="inlineStr">
        <is>
          <t>Penggantian bearing darurat &amp; re-greasing suhu tinggi</t>
        </is>
      </c>
    </row>
    <row r="5" ht="19.95" customHeight="1">
      <c r="A5" s="14" t="inlineStr">
        <is>
          <t>DWT-261004-01</t>
        </is>
      </c>
      <c r="B5" s="14" t="inlineStr">
        <is>
          <t>Lampu Mati</t>
        </is>
      </c>
      <c r="C5" s="15" t="inlineStr">
        <is>
          <t>Pemadaman Gardu Induk PLN (Trip Trafo 125 kVA)</t>
        </is>
      </c>
      <c r="D5" s="26" t="inlineStr">
        <is>
          <t>2026-10-04 10:20:00</t>
        </is>
      </c>
      <c r="E5" s="26" t="inlineStr">
        <is>
          <t>2026-10-04 12:50:00</t>
        </is>
      </c>
      <c r="F5" s="16" t="n">
        <v>2.5</v>
      </c>
      <c r="G5" s="16" t="n">
        <v>50</v>
      </c>
      <c r="H5" s="18" t="n">
        <v>955357</v>
      </c>
      <c r="I5" s="18">
        <f>F5*telemetri_produksi_scada!H5*master_bahan_baku!F11</f>
        <v/>
      </c>
      <c r="J5" s="18">
        <f>G5*biaya_siklus_hpp!N5</f>
        <v/>
      </c>
      <c r="K5" s="18">
        <f>SUM(H5:J5)</f>
        <v/>
      </c>
      <c r="L5" s="15" t="inlineStr">
        <is>
          <t>Sinkronisasi genset darurat &amp; reset panel starter</t>
        </is>
      </c>
    </row>
    <row r="6" ht="19.95" customHeight="1">
      <c r="A6" s="20" t="inlineStr">
        <is>
          <t>DWT-261005-01</t>
        </is>
      </c>
      <c r="B6" s="20" t="inlineStr">
        <is>
          <t>Mesin Rusak</t>
        </is>
      </c>
      <c r="C6" s="21" t="inlineStr">
        <is>
          <t>Belt Conveyor 2 Robek Terkena Benda Tajam</t>
        </is>
      </c>
      <c r="D6" s="27" t="inlineStr">
        <is>
          <t>2026-10-05 08:30:00</t>
        </is>
      </c>
      <c r="E6" s="27" t="inlineStr">
        <is>
          <t>2026-10-05 10:00:00</t>
        </is>
      </c>
      <c r="F6" s="22" t="n">
        <v>1.5</v>
      </c>
      <c r="G6" s="22" t="n">
        <v>30</v>
      </c>
      <c r="H6" s="24" t="n">
        <v>573214</v>
      </c>
      <c r="I6" s="24">
        <f>F6*telemetri_produksi_scada!H6*master_bahan_baku!F12</f>
        <v/>
      </c>
      <c r="J6" s="18">
        <f>G6*biaya_siklus_hpp!N6</f>
        <v/>
      </c>
      <c r="K6" s="18">
        <f>SUM(H6:J6)</f>
        <v/>
      </c>
      <c r="L6" s="21" t="inlineStr">
        <is>
          <t>Penyambungan belt mechanical joint fast-lock</t>
        </is>
      </c>
    </row>
    <row r="7" ht="19.95" customHeight="1">
      <c r="A7" s="14" t="inlineStr">
        <is>
          <t>DWT-261006-01</t>
        </is>
      </c>
      <c r="B7" s="14" t="inlineStr">
        <is>
          <t>Truk Macet</t>
        </is>
      </c>
      <c r="C7" s="15" t="inlineStr">
        <is>
          <t>Antrean Timbang Pelabuhan Tanjung Perak Padat</t>
        </is>
      </c>
      <c r="D7" s="26" t="inlineStr">
        <is>
          <t>2026-10-06 14:00:00</t>
        </is>
      </c>
      <c r="E7" s="26" t="inlineStr">
        <is>
          <t>2026-10-06 15:30:00</t>
        </is>
      </c>
      <c r="F7" s="16" t="n">
        <v>1.5</v>
      </c>
      <c r="G7" s="16" t="n">
        <v>30</v>
      </c>
      <c r="H7" s="18" t="n">
        <v>573214</v>
      </c>
      <c r="I7" s="18">
        <f>F7*telemetri_produksi_scada!H7*master_bahan_baku!F11</f>
        <v/>
      </c>
      <c r="J7" s="18">
        <f>G7*biaya_siklus_hpp!N7</f>
        <v/>
      </c>
      <c r="K7" s="18">
        <f>SUM(H7:J7)</f>
        <v/>
      </c>
      <c r="L7" s="15" t="inlineStr">
        <is>
          <t>Dispatch armada cadangan dari depo penyangga</t>
        </is>
      </c>
    </row>
    <row r="8" ht="19.95" customHeight="1">
      <c r="A8" s="20" t="inlineStr">
        <is>
          <t>DWT-261007-01</t>
        </is>
      </c>
      <c r="B8" s="20" t="inlineStr">
        <is>
          <t>Mesin Rusak</t>
        </is>
      </c>
      <c r="C8" s="21" t="inlineStr">
        <is>
          <t>Sensor Flame Detector Burner PGN Kotor/Error</t>
        </is>
      </c>
      <c r="D8" s="27" t="inlineStr">
        <is>
          <t>2026-10-07 11:15:00</t>
        </is>
      </c>
      <c r="E8" s="27" t="inlineStr">
        <is>
          <t>2026-10-07 12:00:00</t>
        </is>
      </c>
      <c r="F8" s="22" t="n">
        <v>0.75</v>
      </c>
      <c r="G8" s="22" t="n">
        <v>15</v>
      </c>
      <c r="H8" s="24" t="n">
        <v>286607</v>
      </c>
      <c r="I8" s="24">
        <f>F8*telemetri_produksi_scada!H8*master_bahan_baku!F11</f>
        <v/>
      </c>
      <c r="J8" s="18">
        <f>G8*biaya_siklus_hpp!N8</f>
        <v/>
      </c>
      <c r="K8" s="18">
        <f>SUM(H8:J8)</f>
        <v/>
      </c>
      <c r="L8" s="21" t="inlineStr">
        <is>
          <t>Pembersihan probe sensor UV &amp; kalibrasi ulang</t>
        </is>
      </c>
    </row>
    <row r="9" ht="19.95" customHeight="1">
      <c r="A9" s="14" t="inlineStr">
        <is>
          <t>DWT-261008-01</t>
        </is>
      </c>
      <c r="B9" s="14" t="inlineStr">
        <is>
          <t>Lampu Mati</t>
        </is>
      </c>
      <c r="C9" s="15" t="inlineStr">
        <is>
          <t>Fluktuasi Tegangan PLN Drop (Under-voltage Trip)</t>
        </is>
      </c>
      <c r="D9" s="26" t="inlineStr">
        <is>
          <t>2026-10-08 09:00:00</t>
        </is>
      </c>
      <c r="E9" s="26" t="inlineStr">
        <is>
          <t>2026-10-08 10:00:00</t>
        </is>
      </c>
      <c r="F9" s="16" t="n">
        <v>1</v>
      </c>
      <c r="G9" s="16" t="n">
        <v>20</v>
      </c>
      <c r="H9" s="18" t="n">
        <v>382143</v>
      </c>
      <c r="I9" s="18">
        <f>F9*telemetri_produksi_scada!H9*master_bahan_baku!F11</f>
        <v/>
      </c>
      <c r="J9" s="18">
        <f>G9*biaya_siklus_hpp!N9</f>
        <v/>
      </c>
      <c r="K9" s="18">
        <f>SUM(H9:J9)</f>
        <v/>
      </c>
      <c r="L9" s="15" t="inlineStr">
        <is>
          <t>Penyetelan relai proteksi voltage stabilizer</t>
        </is>
      </c>
    </row>
    <row r="10" ht="19.95" customHeight="1">
      <c r="A10" s="20" t="inlineStr">
        <is>
          <t>DWT-261009-01</t>
        </is>
      </c>
      <c r="B10" s="20" t="inlineStr">
        <is>
          <t>Truk Macet</t>
        </is>
      </c>
      <c r="C10" s="21" t="inlineStr">
        <is>
          <t>Truk Pengangkut Silo Rusak di Gerbang Timbang</t>
        </is>
      </c>
      <c r="D10" s="27" t="inlineStr">
        <is>
          <t>2026-10-09 13:30:00</t>
        </is>
      </c>
      <c r="E10" s="27" t="inlineStr">
        <is>
          <t>2026-10-09 15:30:00</t>
        </is>
      </c>
      <c r="F10" s="22" t="n">
        <v>2</v>
      </c>
      <c r="G10" s="22" t="n">
        <v>40</v>
      </c>
      <c r="H10" s="24" t="n">
        <v>764286</v>
      </c>
      <c r="I10" s="24">
        <f>F10*telemetri_produksi_scada!H10*master_bahan_baku!F11</f>
        <v/>
      </c>
      <c r="J10" s="18">
        <f>G10*biaya_siklus_hpp!N10</f>
        <v/>
      </c>
      <c r="K10" s="18">
        <f>SUM(H10:J10)</f>
        <v/>
      </c>
      <c r="L10" s="21" t="inlineStr">
        <is>
          <t>Penarikan kendaraan derek &amp; buka jalur darurat</t>
        </is>
      </c>
    </row>
    <row r="11" ht="19.95" customHeight="1">
      <c r="A11" s="14" t="inlineStr">
        <is>
          <t>DWT-261010-01</t>
        </is>
      </c>
      <c r="B11" s="14" t="inlineStr">
        <is>
          <t>Mesin Rusak</t>
        </is>
      </c>
      <c r="C11" s="15" t="inlineStr">
        <is>
          <t>Vibrating Screen Choked (Penyumbatan Gumpalan)</t>
        </is>
      </c>
      <c r="D11" s="26" t="inlineStr">
        <is>
          <t>2026-10-10 10:45:00</t>
        </is>
      </c>
      <c r="E11" s="26" t="inlineStr">
        <is>
          <t>2026-10-10 11:45:00</t>
        </is>
      </c>
      <c r="F11" s="16" t="n">
        <v>1</v>
      </c>
      <c r="G11" s="16" t="n">
        <v>20</v>
      </c>
      <c r="H11" s="18" t="n">
        <v>382143</v>
      </c>
      <c r="I11" s="18">
        <f>F11*telemetri_produksi_scada!H11*master_bahan_baku!F11</f>
        <v/>
      </c>
      <c r="J11" s="18">
        <f>G11*biaya_siklus_hpp!N11</f>
        <v/>
      </c>
      <c r="K11" s="18">
        <f>SUM(H11:J11)</f>
        <v/>
      </c>
      <c r="L11" s="15" t="inlineStr">
        <is>
          <t>Pembersihan wire mesh screen &amp; kontrol kadar air</t>
        </is>
      </c>
    </row>
    <row r="12" ht="19.95" customHeight="1">
      <c r="A12" s="20" t="inlineStr">
        <is>
          <t>DWT-261011-01</t>
        </is>
      </c>
      <c r="B12" s="20" t="inlineStr">
        <is>
          <t>Truk Macet</t>
        </is>
      </c>
      <c r="C12" s="21" t="inlineStr">
        <is>
          <t>Kendala Administrasi DO Soda Ash di Gudang Transit</t>
        </is>
      </c>
      <c r="D12" s="27" t="inlineStr">
        <is>
          <t>2026-10-11 08:00:00</t>
        </is>
      </c>
      <c r="E12" s="27" t="inlineStr">
        <is>
          <t>2026-10-11 10:30:00</t>
        </is>
      </c>
      <c r="F12" s="22" t="n">
        <v>2.5</v>
      </c>
      <c r="G12" s="22" t="n">
        <v>50</v>
      </c>
      <c r="H12" s="24" t="n">
        <v>955357</v>
      </c>
      <c r="I12" s="24">
        <f>F12*telemetri_produksi_scada!H12*master_bahan_baku!F11</f>
        <v/>
      </c>
      <c r="J12" s="18">
        <f>G12*biaya_siklus_hpp!N12</f>
        <v/>
      </c>
      <c r="K12" s="18">
        <f>SUM(H12:J12)</f>
        <v/>
      </c>
      <c r="L12" s="21" t="inlineStr">
        <is>
          <t>Percepatan kliring digital &amp; pinjam buffer lokal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D27" sqref="D27"/>
    </sheetView>
  </sheetViews>
  <sheetFormatPr baseColWidth="8" defaultRowHeight="14.4"/>
  <cols>
    <col width="17" customWidth="1" min="1" max="1"/>
    <col width="15" customWidth="1" min="2" max="2"/>
    <col width="28" customWidth="1" min="3" max="3"/>
    <col width="30" customWidth="1" min="4" max="4"/>
    <col width="22" customWidth="1" min="5" max="5"/>
    <col width="23" customWidth="1" min="6" max="6"/>
    <col width="22" customWidth="1" min="7" max="7"/>
    <col width="23" customWidth="1" min="8" max="8"/>
    <col width="28" customWidth="1" min="9" max="9"/>
    <col width="34" customWidth="1" min="10" max="10"/>
    <col width="25" customWidth="1" min="11" max="11"/>
    <col width="29" customWidth="1" min="12" max="12"/>
    <col width="26" customWidth="1" min="13" max="13"/>
  </cols>
  <sheetData>
    <row r="1" ht="24" customHeight="1">
      <c r="A1" s="13" t="inlineStr">
        <is>
          <t>TABEL: REKAP_KINERJA_EKSEKUTIF</t>
        </is>
      </c>
    </row>
    <row r="2" ht="28.05" customHeight="1">
      <c r="A2" s="3" t="inlineStr">
        <is>
          <t>id_rekap_kpi</t>
        </is>
      </c>
      <c r="B2" s="3" t="inlineStr">
        <is>
          <t>tanggal</t>
        </is>
      </c>
      <c r="C2" s="3" t="inlineStr">
        <is>
          <t>jam_operasional_efektif</t>
        </is>
      </c>
      <c r="D2" s="3" t="inlineStr">
        <is>
          <t>total_output_produksi_ton</t>
        </is>
      </c>
      <c r="E2" s="3" t="inlineStr">
        <is>
          <t>target_harian_ton</t>
        </is>
      </c>
      <c r="F2" s="3" t="inlineStr">
        <is>
          <t>capaian_target_pct</t>
        </is>
      </c>
      <c r="G2" s="3" t="inlineStr">
        <is>
          <t>total_rit_inbound</t>
        </is>
      </c>
      <c r="H2" s="3" t="inlineStr">
        <is>
          <t>total_rit_outbound</t>
        </is>
      </c>
      <c r="I2" s="3" t="inlineStr">
        <is>
          <t>efisiensi_pgn_vs_cng_rp</t>
        </is>
      </c>
      <c r="J2" s="3" t="inlineStr">
        <is>
          <t>kerugian_downtime_hari_ini_rp</t>
        </is>
      </c>
      <c r="K2" s="3" t="inlineStr">
        <is>
          <t>laba_kotor_harian_rp</t>
        </is>
      </c>
      <c r="L2" s="3" t="inlineStr">
        <is>
          <t>kumulatif_laba_bersih_rp</t>
        </is>
      </c>
      <c r="M2" s="3" t="inlineStr">
        <is>
          <t>progres_bep_capex_pct</t>
        </is>
      </c>
    </row>
    <row r="3" ht="19.95" customHeight="1">
      <c r="A3" s="14" t="inlineStr">
        <is>
          <t>KPI-261001</t>
        </is>
      </c>
      <c r="B3" s="30" t="inlineStr">
        <is>
          <t>2026-10-01</t>
        </is>
      </c>
      <c r="C3" s="16" t="n">
        <v>7</v>
      </c>
      <c r="D3" s="16" t="n">
        <v>140</v>
      </c>
      <c r="E3" s="16" t="n">
        <v>140</v>
      </c>
      <c r="F3" s="17" t="n">
        <v>100</v>
      </c>
      <c r="G3" s="19" t="n">
        <v>7</v>
      </c>
      <c r="H3" s="19" t="n">
        <v>5</v>
      </c>
      <c r="I3" s="18" t="n">
        <v>2151940</v>
      </c>
      <c r="J3" s="18" t="n">
        <v>0</v>
      </c>
      <c r="K3" s="18" t="n">
        <v>90355300</v>
      </c>
      <c r="L3" s="18" t="n">
        <v>45177650</v>
      </c>
      <c r="M3" s="17" t="n">
        <v>0.88</v>
      </c>
    </row>
    <row r="4" ht="19.95" customHeight="1">
      <c r="A4" s="20" t="inlineStr">
        <is>
          <t>KPI-261002</t>
        </is>
      </c>
      <c r="B4" s="31" t="inlineStr">
        <is>
          <t>2026-10-02</t>
        </is>
      </c>
      <c r="C4" s="22" t="n">
        <v>6.63</v>
      </c>
      <c r="D4" s="22" t="n">
        <v>132.5</v>
      </c>
      <c r="E4" s="22" t="n">
        <v>140</v>
      </c>
      <c r="F4" s="23" t="n">
        <v>94.64</v>
      </c>
      <c r="G4" s="25" t="n">
        <v>6</v>
      </c>
      <c r="H4" s="25" t="n">
        <v>5</v>
      </c>
      <c r="I4" s="24" t="n">
        <v>2036657</v>
      </c>
      <c r="J4" s="24" t="n">
        <v>46515150</v>
      </c>
      <c r="K4" s="24" t="n">
        <v>85516368</v>
      </c>
      <c r="L4" s="24" t="n">
        <v>87935834</v>
      </c>
      <c r="M4" s="23" t="n">
        <v>1.71</v>
      </c>
    </row>
    <row r="5" ht="19.95" customHeight="1">
      <c r="A5" s="14" t="inlineStr">
        <is>
          <t>KPI-261003</t>
        </is>
      </c>
      <c r="B5" s="30" t="inlineStr">
        <is>
          <t>2026-10-03</t>
        </is>
      </c>
      <c r="C5" s="16" t="n">
        <v>7</v>
      </c>
      <c r="D5" s="16" t="n">
        <v>140</v>
      </c>
      <c r="E5" s="16" t="n">
        <v>140</v>
      </c>
      <c r="F5" s="17" t="n">
        <v>100</v>
      </c>
      <c r="G5" s="19" t="n">
        <v>7</v>
      </c>
      <c r="H5" s="19" t="n">
        <v>5</v>
      </c>
      <c r="I5" s="18" t="n">
        <v>2151940</v>
      </c>
      <c r="J5" s="18" t="n">
        <v>43795476</v>
      </c>
      <c r="K5" s="18" t="n">
        <v>90355300</v>
      </c>
      <c r="L5" s="18" t="n">
        <v>133113484</v>
      </c>
      <c r="M5" s="17" t="n">
        <v>2.58</v>
      </c>
    </row>
    <row r="6" ht="19.95" customHeight="1">
      <c r="A6" s="20" t="inlineStr">
        <is>
          <t>KPI-261004</t>
        </is>
      </c>
      <c r="B6" s="31" t="inlineStr">
        <is>
          <t>2026-10-04</t>
        </is>
      </c>
      <c r="C6" s="22" t="n">
        <v>7</v>
      </c>
      <c r="D6" s="22" t="n">
        <v>140</v>
      </c>
      <c r="E6" s="22" t="n">
        <v>140</v>
      </c>
      <c r="F6" s="23" t="n">
        <v>100</v>
      </c>
      <c r="G6" s="25" t="n">
        <v>6</v>
      </c>
      <c r="H6" s="25" t="n">
        <v>5</v>
      </c>
      <c r="I6" s="24" t="n">
        <v>0</v>
      </c>
      <c r="J6" s="24" t="n">
        <v>53725107</v>
      </c>
      <c r="K6" s="24" t="n">
        <v>87989160</v>
      </c>
      <c r="L6" s="24" t="n">
        <v>177108064</v>
      </c>
      <c r="M6" s="23" t="n">
        <v>3.44</v>
      </c>
    </row>
    <row r="7" ht="19.95" customHeight="1">
      <c r="A7" s="14" t="inlineStr">
        <is>
          <t>KPI-261005</t>
        </is>
      </c>
      <c r="B7" s="30" t="inlineStr">
        <is>
          <t>2026-10-05</t>
        </is>
      </c>
      <c r="C7" s="16" t="n">
        <v>7</v>
      </c>
      <c r="D7" s="16" t="n">
        <v>140</v>
      </c>
      <c r="E7" s="16" t="n">
        <v>140</v>
      </c>
      <c r="F7" s="17" t="n">
        <v>100</v>
      </c>
      <c r="G7" s="19" t="n">
        <v>7</v>
      </c>
      <c r="H7" s="19" t="n">
        <v>5</v>
      </c>
      <c r="I7" s="18" t="n">
        <v>2151940</v>
      </c>
      <c r="J7" s="18" t="n">
        <v>37150454</v>
      </c>
      <c r="K7" s="18" t="n">
        <v>90355300</v>
      </c>
      <c r="L7" s="18" t="n">
        <v>222285714</v>
      </c>
      <c r="M7" s="17" t="n">
        <v>4.32</v>
      </c>
    </row>
    <row r="8" ht="19.95" customHeight="1">
      <c r="A8" s="20" t="inlineStr">
        <is>
          <t>KPI-261006</t>
        </is>
      </c>
      <c r="B8" s="31" t="inlineStr">
        <is>
          <t>2026-10-06</t>
        </is>
      </c>
      <c r="C8" s="22" t="n">
        <v>7</v>
      </c>
      <c r="D8" s="22" t="n">
        <v>140</v>
      </c>
      <c r="E8" s="22" t="n">
        <v>140</v>
      </c>
      <c r="F8" s="23" t="n">
        <v>100</v>
      </c>
      <c r="G8" s="25" t="n">
        <v>7</v>
      </c>
      <c r="H8" s="25" t="n">
        <v>5</v>
      </c>
      <c r="I8" s="24" t="n">
        <v>2151940</v>
      </c>
      <c r="J8" s="24" t="n">
        <v>19935064</v>
      </c>
      <c r="K8" s="24" t="n">
        <v>90355300</v>
      </c>
      <c r="L8" s="24" t="n">
        <v>267463364</v>
      </c>
      <c r="M8" s="23" t="n">
        <v>5.19</v>
      </c>
    </row>
    <row r="9" ht="19.95" customHeight="1">
      <c r="A9" s="14" t="inlineStr">
        <is>
          <t>KPI-261007</t>
        </is>
      </c>
      <c r="B9" s="30" t="inlineStr">
        <is>
          <t>2026-10-07</t>
        </is>
      </c>
      <c r="C9" s="16" t="n">
        <v>7</v>
      </c>
      <c r="D9" s="16" t="n">
        <v>140</v>
      </c>
      <c r="E9" s="16" t="n">
        <v>140</v>
      </c>
      <c r="F9" s="17" t="n">
        <v>100</v>
      </c>
      <c r="G9" s="19" t="n">
        <v>7</v>
      </c>
      <c r="H9" s="19" t="n">
        <v>5</v>
      </c>
      <c r="I9" s="18" t="n">
        <v>2151940</v>
      </c>
      <c r="J9" s="18" t="n">
        <v>18575227</v>
      </c>
      <c r="K9" s="18" t="n">
        <v>90355300</v>
      </c>
      <c r="L9" s="18" t="n">
        <v>312641014</v>
      </c>
      <c r="M9" s="17" t="n">
        <v>6.07</v>
      </c>
    </row>
    <row r="10" ht="19.95" customHeight="1">
      <c r="A10" s="20" t="inlineStr">
        <is>
          <t>KPI-261008</t>
        </is>
      </c>
      <c r="B10" s="31" t="inlineStr">
        <is>
          <t>2026-10-08</t>
        </is>
      </c>
      <c r="C10" s="22" t="n">
        <v>7</v>
      </c>
      <c r="D10" s="22" t="n">
        <v>140</v>
      </c>
      <c r="E10" s="22" t="n">
        <v>140</v>
      </c>
      <c r="F10" s="23" t="n">
        <v>100</v>
      </c>
      <c r="G10" s="25" t="n">
        <v>7</v>
      </c>
      <c r="H10" s="25" t="n">
        <v>5</v>
      </c>
      <c r="I10" s="24" t="n">
        <v>2151940</v>
      </c>
      <c r="J10" s="24" t="n">
        <v>30505433</v>
      </c>
      <c r="K10" s="24" t="n">
        <v>90355300</v>
      </c>
      <c r="L10" s="24" t="n">
        <v>357818664</v>
      </c>
      <c r="M10" s="23" t="n">
        <v>6.95</v>
      </c>
    </row>
    <row r="11" ht="19.95" customHeight="1">
      <c r="A11" s="14" t="inlineStr">
        <is>
          <t>KPI-261009</t>
        </is>
      </c>
      <c r="B11" s="30" t="inlineStr">
        <is>
          <t>2026-10-09</t>
        </is>
      </c>
      <c r="C11" s="16" t="n">
        <v>7</v>
      </c>
      <c r="D11" s="16" t="n">
        <v>140</v>
      </c>
      <c r="E11" s="16" t="n">
        <v>140</v>
      </c>
      <c r="F11" s="17" t="n">
        <v>100</v>
      </c>
      <c r="G11" s="19" t="n">
        <v>7</v>
      </c>
      <c r="H11" s="19" t="n">
        <v>5</v>
      </c>
      <c r="I11" s="18" t="n">
        <v>2151940</v>
      </c>
      <c r="J11" s="18" t="n">
        <v>26580086</v>
      </c>
      <c r="K11" s="18" t="n">
        <v>90355300</v>
      </c>
      <c r="L11" s="18" t="n">
        <v>402996314</v>
      </c>
      <c r="M11" s="17" t="n">
        <v>7.83</v>
      </c>
    </row>
    <row r="12" ht="19.95" customHeight="1">
      <c r="A12" s="20" t="inlineStr">
        <is>
          <t>KPI-261010</t>
        </is>
      </c>
      <c r="B12" s="31" t="inlineStr">
        <is>
          <t>2026-10-10</t>
        </is>
      </c>
      <c r="C12" s="22" t="n">
        <v>7</v>
      </c>
      <c r="D12" s="22" t="n">
        <v>140</v>
      </c>
      <c r="E12" s="22" t="n">
        <v>140</v>
      </c>
      <c r="F12" s="23" t="n">
        <v>100</v>
      </c>
      <c r="G12" s="25" t="n">
        <v>7</v>
      </c>
      <c r="H12" s="25" t="n">
        <v>5</v>
      </c>
      <c r="I12" s="24" t="n">
        <v>2151940</v>
      </c>
      <c r="J12" s="24" t="n">
        <v>21897738</v>
      </c>
      <c r="K12" s="24" t="n">
        <v>90355300</v>
      </c>
      <c r="L12" s="24" t="n">
        <v>448173964</v>
      </c>
      <c r="M12" s="23" t="n">
        <v>8.699999999999999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2" customWidth="1" min="3" max="3"/>
    <col width="18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  <col width="20" customWidth="1" min="11" max="11"/>
    <col width="20" customWidth="1" min="12" max="12"/>
    <col width="22" customWidth="1" min="13" max="13"/>
    <col width="24" customWidth="1" min="14" max="14"/>
    <col width="26" customWidth="1" min="15" max="15"/>
    <col width="30" customWidth="1" min="16" max="16"/>
    <col width="32" customWidth="1" min="17" max="17"/>
    <col width="34" customWidth="1" min="18" max="18"/>
  </cols>
  <sheetData>
    <row r="1">
      <c r="A1" s="69" t="inlineStr">
        <is>
          <t>SIMULASI RENTANG DEMAND, KAPASITAS LOGISTIK TRUK, FINANSIAL, &amp; DINAMIKA INDUSTRI LOKAL</t>
        </is>
      </c>
    </row>
    <row r="2">
      <c r="A2" s="33" t="inlineStr">
        <is>
          <t>PT. MINERAL ADITIF NUSANTARA — Model Simulasi Dinamis Rentang Output (80T - 420T/Hari), 6 Skenario Lonjakan Permintaan Swasta &amp; Megaproyek Pemerintah</t>
        </is>
      </c>
    </row>
    <row r="3"/>
    <row r="4">
      <c r="A4" s="34" t="inlineStr">
        <is>
          <t>BAGIAN 1: MATRIKS 6 SKENARIO RENTANG DEMAND &amp; KEBUTUHAN LOGISTIK TRUK (@ 30 TON)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</row>
    <row r="5" ht="28" customHeight="1">
      <c r="A5" s="70" t="inlineStr">
        <is>
          <t>Kode Skenario</t>
        </is>
      </c>
      <c r="B5" s="70" t="inlineStr">
        <is>
          <t>Nama Skenario Permintaan</t>
        </is>
      </c>
      <c r="C5" s="70" t="inlineStr">
        <is>
          <t>Tipe Operasional / Shift</t>
        </is>
      </c>
      <c r="D5" s="70" t="inlineStr">
        <is>
          <t>Jam Kerja Efektif</t>
        </is>
      </c>
      <c r="E5" s="70" t="inlineStr">
        <is>
          <t>Output Harian (Ton)</t>
        </is>
      </c>
      <c r="F5" s="70" t="inlineStr">
        <is>
          <t>Output Bulanan (25 Hari)</t>
        </is>
      </c>
      <c r="G5" s="70" t="inlineStr">
        <is>
          <t>Rit Truk Outbound (@30T)</t>
        </is>
      </c>
      <c r="H5" s="70" t="inlineStr">
        <is>
          <t>Rit Dibulatkan Outbound</t>
        </is>
      </c>
      <c r="I5" s="70" t="inlineStr">
        <is>
          <t>Bentonite 80% (Ton)</t>
        </is>
      </c>
      <c r="J5" s="70" t="inlineStr">
        <is>
          <t>Rit Truk Inbound Bentonite</t>
        </is>
      </c>
      <c r="K5" s="70" t="inlineStr">
        <is>
          <t>Calsium 15% (Ton)</t>
        </is>
      </c>
      <c r="L5" s="70" t="inlineStr">
        <is>
          <t>Soda Ash 5% (Ton)</t>
        </is>
      </c>
      <c r="M5" s="70" t="inlineStr">
        <is>
          <t>Total Rit Inbound/Hari</t>
        </is>
      </c>
      <c r="N5" s="70" t="inlineStr">
        <is>
          <t>Total Lalu Lintas Truk/Hari</t>
        </is>
      </c>
      <c r="O5" s="70" t="inlineStr">
        <is>
          <t>Ketahanan Stockpile Bentonite (Jam)</t>
        </is>
      </c>
      <c r="P5" s="70" t="inlineStr">
        <is>
          <t>Buffer Holding Time Silo (Jam)</t>
        </is>
      </c>
      <c r="Q5" s="70" t="inlineStr">
        <is>
          <t>Status Risiko Logistik &amp; Buffer</t>
        </is>
      </c>
    </row>
    <row r="6" ht="22" customHeight="1">
      <c r="A6" s="71" t="inlineStr">
        <is>
          <t>SCN-01</t>
        </is>
      </c>
      <c r="B6" s="72" t="inlineStr">
        <is>
          <t>Low Demand (Pasar Kontraksi / Retail Turun)</t>
        </is>
      </c>
      <c r="C6" s="72" t="inlineStr">
        <is>
          <t>0.5 Shift (Setengah Hari)</t>
        </is>
      </c>
      <c r="D6" s="73" t="n">
        <v>4</v>
      </c>
      <c r="E6" s="74" t="n">
        <v>80</v>
      </c>
      <c r="F6" s="75">
        <f>E6*25</f>
        <v/>
      </c>
      <c r="G6" s="76">
        <f>E6/30</f>
        <v/>
      </c>
      <c r="H6" s="77" t="n">
        <v>3</v>
      </c>
      <c r="I6" s="75">
        <f>E6*0.8</f>
        <v/>
      </c>
      <c r="J6" s="76">
        <f>I6/30</f>
        <v/>
      </c>
      <c r="K6" s="75">
        <f>E6*0.15</f>
        <v/>
      </c>
      <c r="L6" s="75">
        <f>E6*0.05</f>
        <v/>
      </c>
      <c r="M6" s="77" t="n">
        <v>3</v>
      </c>
      <c r="N6" s="77">
        <f>H6+M6</f>
        <v/>
      </c>
      <c r="O6" s="76">
        <f>134.4/(I6/D6)</f>
        <v/>
      </c>
      <c r="P6" s="76">
        <f>86.4/(E6/D6)</f>
        <v/>
      </c>
      <c r="Q6" s="72" t="inlineStr">
        <is>
          <t>Sangat Aman (Turnover Lambat)</t>
        </is>
      </c>
    </row>
    <row r="7" ht="22" customHeight="1">
      <c r="A7" s="78" t="inlineStr">
        <is>
          <t>SCN-02</t>
        </is>
      </c>
      <c r="B7" s="79" t="inlineStr">
        <is>
          <t>Normal Baseline (Standar 1 Shift Eksisting)</t>
        </is>
      </c>
      <c r="C7" s="79" t="inlineStr">
        <is>
          <t>1 Shift Reguler (08:30-16:30)</t>
        </is>
      </c>
      <c r="D7" s="80" t="n">
        <v>7</v>
      </c>
      <c r="E7" s="81" t="n">
        <v>140</v>
      </c>
      <c r="F7" s="82">
        <f>E7*25</f>
        <v/>
      </c>
      <c r="G7" s="83">
        <f>E7/30</f>
        <v/>
      </c>
      <c r="H7" s="84" t="n">
        <v>5</v>
      </c>
      <c r="I7" s="82">
        <f>E7*0.8</f>
        <v/>
      </c>
      <c r="J7" s="83">
        <f>I7/30</f>
        <v/>
      </c>
      <c r="K7" s="82">
        <f>E7*0.15</f>
        <v/>
      </c>
      <c r="L7" s="82">
        <f>E7*0.05</f>
        <v/>
      </c>
      <c r="M7" s="84" t="n">
        <v>5</v>
      </c>
      <c r="N7" s="84">
        <f>H7+M7</f>
        <v/>
      </c>
      <c r="O7" s="83">
        <f>134.4/(I7/D7)</f>
        <v/>
      </c>
      <c r="P7" s="83">
        <f>86.4/(E7/D7)</f>
        <v/>
      </c>
      <c r="Q7" s="79" t="inlineStr">
        <is>
          <t>Ideal &amp; Stabil (Ekuilibrium Pabrik)</t>
        </is>
      </c>
    </row>
    <row r="8" ht="22" customHeight="1">
      <c r="A8" s="71" t="inlineStr">
        <is>
          <t>SCN-03</t>
        </is>
      </c>
      <c r="B8" s="72" t="inlineStr">
        <is>
          <t>High Commercial Surge (Lonjakan Swasta / Q2-Q3)</t>
        </is>
      </c>
      <c r="C8" s="72" t="inlineStr">
        <is>
          <t>1 Shift + Lembur Maksimal 3 Jam</t>
        </is>
      </c>
      <c r="D8" s="73" t="n">
        <v>10</v>
      </c>
      <c r="E8" s="74" t="n">
        <v>200</v>
      </c>
      <c r="F8" s="75">
        <f>E8*25</f>
        <v/>
      </c>
      <c r="G8" s="76">
        <f>E8/30</f>
        <v/>
      </c>
      <c r="H8" s="77" t="n">
        <v>7</v>
      </c>
      <c r="I8" s="75">
        <f>E8*0.8</f>
        <v/>
      </c>
      <c r="J8" s="76">
        <f>I8/30</f>
        <v/>
      </c>
      <c r="K8" s="75">
        <f>E8*0.15</f>
        <v/>
      </c>
      <c r="L8" s="75">
        <f>E8*0.05</f>
        <v/>
      </c>
      <c r="M8" s="77" t="n">
        <v>7</v>
      </c>
      <c r="N8" s="77">
        <f>H8+M8</f>
        <v/>
      </c>
      <c r="O8" s="76">
        <f>134.4/(I8/D8)</f>
        <v/>
      </c>
      <c r="P8" s="76">
        <f>86.4/(E8/D8)</f>
        <v/>
      </c>
      <c r="Q8" s="72" t="inlineStr">
        <is>
          <t>Moderat (Wajib Jadwal Ketat Truk)</t>
        </is>
      </c>
    </row>
    <row r="9" ht="22" customHeight="1">
      <c r="A9" s="78" t="inlineStr">
        <is>
          <t>SCN-04</t>
        </is>
      </c>
      <c r="B9" s="79" t="inlineStr">
        <is>
          <t>Corporate Multiplier (Tender Swasta Besar / 2x)</t>
        </is>
      </c>
      <c r="C9" s="79" t="inlineStr">
        <is>
          <t>2 Shift Penuh (07:00-23:00)</t>
        </is>
      </c>
      <c r="D9" s="80" t="n">
        <v>14</v>
      </c>
      <c r="E9" s="81" t="n">
        <v>280</v>
      </c>
      <c r="F9" s="82">
        <f>E9*25</f>
        <v/>
      </c>
      <c r="G9" s="83">
        <f>E9/30</f>
        <v/>
      </c>
      <c r="H9" s="84" t="n">
        <v>10</v>
      </c>
      <c r="I9" s="82">
        <f>E9*0.8</f>
        <v/>
      </c>
      <c r="J9" s="83">
        <f>I9/30</f>
        <v/>
      </c>
      <c r="K9" s="82">
        <f>E9*0.15</f>
        <v/>
      </c>
      <c r="L9" s="82">
        <f>E9*0.05</f>
        <v/>
      </c>
      <c r="M9" s="84" t="n">
        <v>10</v>
      </c>
      <c r="N9" s="84">
        <f>H9+M9</f>
        <v/>
      </c>
      <c r="O9" s="83">
        <f>134.4/(I9/D9)</f>
        <v/>
      </c>
      <c r="P9" s="83">
        <f>86.4/(E9/D9)</f>
        <v/>
      </c>
      <c r="Q9" s="79" t="inlineStr">
        <is>
          <t>Ketat (Stockpile Habis dlm 4,2 Jam)</t>
        </is>
      </c>
    </row>
    <row r="10" ht="22" customHeight="1">
      <c r="A10" s="71" t="inlineStr">
        <is>
          <t>SCN-05</t>
        </is>
      </c>
      <c r="B10" s="72" t="inlineStr">
        <is>
          <t>Massive Peak Tender (Proyek BUMN Karya / 2.5x)</t>
        </is>
      </c>
      <c r="C10" s="72" t="inlineStr">
        <is>
          <t>2 Shift Panjang + 4 Jam Lembur</t>
        </is>
      </c>
      <c r="D10" s="73" t="n">
        <v>18</v>
      </c>
      <c r="E10" s="74" t="n">
        <v>360</v>
      </c>
      <c r="F10" s="75">
        <f>E10*25</f>
        <v/>
      </c>
      <c r="G10" s="76">
        <f>E10/30</f>
        <v/>
      </c>
      <c r="H10" s="77" t="n">
        <v>12</v>
      </c>
      <c r="I10" s="75">
        <f>E10*0.8</f>
        <v/>
      </c>
      <c r="J10" s="76">
        <f>I10/30</f>
        <v/>
      </c>
      <c r="K10" s="75">
        <f>E10*0.15</f>
        <v/>
      </c>
      <c r="L10" s="75">
        <f>E10*0.05</f>
        <v/>
      </c>
      <c r="M10" s="77" t="n">
        <v>13</v>
      </c>
      <c r="N10" s="77">
        <f>H10+M10</f>
        <v/>
      </c>
      <c r="O10" s="76">
        <f>134.4/(I10/D10)</f>
        <v/>
      </c>
      <c r="P10" s="76">
        <f>86.4/(E10/D10)</f>
        <v/>
      </c>
      <c r="Q10" s="72" t="inlineStr">
        <is>
          <t>Tinggi (Jembatan Timbang Non-Stop)</t>
        </is>
      </c>
    </row>
    <row r="11">
      <c r="A11" s="85" t="inlineStr">
        <is>
          <t>SCN-06</t>
        </is>
      </c>
      <c r="B11" s="86" t="inlineStr">
        <is>
          <t>Government Megaproject Surge (PSN / IKN 24 Jam)</t>
        </is>
      </c>
      <c r="C11" s="86" t="inlineStr">
        <is>
          <t>3 Shift Kontinu (24 Jam Non-Stop)</t>
        </is>
      </c>
      <c r="D11" s="87" t="n">
        <v>21</v>
      </c>
      <c r="E11" s="88" t="n">
        <v>420</v>
      </c>
      <c r="F11" s="89">
        <f>E11*25</f>
        <v/>
      </c>
      <c r="G11" s="90">
        <f>E11/30</f>
        <v/>
      </c>
      <c r="H11" s="91" t="n">
        <v>14</v>
      </c>
      <c r="I11" s="89">
        <f>E11*0.8</f>
        <v/>
      </c>
      <c r="J11" s="90">
        <f>I11/30</f>
        <v/>
      </c>
      <c r="K11" s="89">
        <f>E11*0.15</f>
        <v/>
      </c>
      <c r="L11" s="89">
        <f>E11*0.05</f>
        <v/>
      </c>
      <c r="M11" s="91" t="n">
        <v>15</v>
      </c>
      <c r="N11" s="91">
        <f>H11+M11</f>
        <v/>
      </c>
      <c r="O11" s="90">
        <f>134.4/(I11/D11)</f>
        <v/>
      </c>
      <c r="P11" s="90">
        <f>86.4/(E11/D11)</f>
        <v/>
      </c>
      <c r="Q11" s="86" t="inlineStr">
        <is>
          <t>Kritis &amp; Ekstrem (Wajib Jumbo Bag Buffer)</t>
        </is>
      </c>
    </row>
    <row r="12">
      <c r="A12" s="52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</row>
    <row r="13" ht="28" customHeight="1">
      <c r="A13" s="92" t="inlineStr">
        <is>
          <t>BAGIAN 2: STRUKTUR HPP, OMZET, LABA KOTOR, DAN KEBUTUHAN MODAL KERJA CASH FLOW (TOP 30, 60, 90 HARI)</t>
        </is>
      </c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</row>
    <row r="14" ht="22" customHeight="1">
      <c r="A14" s="70" t="inlineStr">
        <is>
          <t>Kode Skenario</t>
        </is>
      </c>
      <c r="B14" s="93" t="inlineStr">
        <is>
          <t>Output Harian</t>
        </is>
      </c>
      <c r="C14" s="94" t="inlineStr">
        <is>
          <t>Biaya Raw Material</t>
        </is>
      </c>
      <c r="D14" s="94" t="inlineStr">
        <is>
          <t>Biaya Gas PGN</t>
        </is>
      </c>
      <c r="E14" s="94" t="inlineStr">
        <is>
          <t>Biaya Listrik PLN</t>
        </is>
      </c>
      <c r="F14" s="94" t="inlineStr">
        <is>
          <t>Biaya Solar Forklift</t>
        </is>
      </c>
      <c r="G14" s="94" t="inlineStr">
        <is>
          <t>Alokasi SDM / Hari</t>
        </is>
      </c>
      <c r="H14" s="94" t="inlineStr">
        <is>
          <t>Biaya Maintenance</t>
        </is>
      </c>
      <c r="I14" s="94" t="inlineStr">
        <is>
          <t>Total Biaya Harian (HPP)</t>
        </is>
      </c>
      <c r="J14" s="94" t="inlineStr">
        <is>
          <t>HPP per Ton</t>
        </is>
      </c>
      <c r="K14" s="94" t="inlineStr">
        <is>
          <t>Harga Jual per Ton</t>
        </is>
      </c>
      <c r="L14" s="94" t="inlineStr">
        <is>
          <t>Omzet Penjualan Harian</t>
        </is>
      </c>
      <c r="M14" s="94" t="inlineStr">
        <is>
          <t>Laba Kotor Harian</t>
        </is>
      </c>
      <c r="N14" s="95" t="inlineStr">
        <is>
          <t>Gross Margin Pct</t>
        </is>
      </c>
      <c r="O14" s="94" t="inlineStr">
        <is>
          <t>Laba Kotor Bulanan (25H)</t>
        </is>
      </c>
      <c r="P14" s="94" t="inlineStr">
        <is>
          <t>Kebutuhan Modal Kerja (TOP 30H - Swasta)</t>
        </is>
      </c>
      <c r="Q14" s="70" t="inlineStr">
        <is>
          <t>Kebutuhan Modal Kerja (TOP 60H - BUMN Menengah)</t>
        </is>
      </c>
      <c r="R14" s="70" t="inlineStr">
        <is>
          <t>Kebutuhan Modal Kerja (TOP 90H - Tender Pemerintah)</t>
        </is>
      </c>
    </row>
    <row r="15" ht="22" customHeight="1">
      <c r="A15" s="78" t="inlineStr">
        <is>
          <t>SCN-01</t>
        </is>
      </c>
      <c r="B15" s="82">
        <f>E6</f>
        <v/>
      </c>
      <c r="C15" s="96">
        <f>B15*3582500</f>
        <v/>
      </c>
      <c r="D15" s="96">
        <f>B15*79930</f>
        <v/>
      </c>
      <c r="E15" s="96">
        <f>B15*7223</f>
        <v/>
      </c>
      <c r="F15" s="96">
        <f>B15*4738</f>
        <v/>
      </c>
      <c r="G15" s="96" t="n">
        <v>2675000</v>
      </c>
      <c r="H15" s="96">
        <f>B15*139006</f>
        <v/>
      </c>
      <c r="I15" s="97">
        <f>SUM(C15:H15)</f>
        <v/>
      </c>
      <c r="J15" s="96">
        <f>I15/B15</f>
        <v/>
      </c>
      <c r="K15" s="96" t="n">
        <v>4350000</v>
      </c>
      <c r="L15" s="97">
        <f>B15*K15</f>
        <v/>
      </c>
      <c r="M15" s="97">
        <f>L15-I15</f>
        <v/>
      </c>
      <c r="N15" s="98">
        <f>M15/L15</f>
        <v/>
      </c>
      <c r="O15" s="96">
        <f>M15*25</f>
        <v/>
      </c>
      <c r="P15" s="96">
        <f>I15*30</f>
        <v/>
      </c>
      <c r="Q15" s="96">
        <f>I15*60</f>
        <v/>
      </c>
      <c r="R15" s="97">
        <f>I15*90</f>
        <v/>
      </c>
    </row>
    <row r="16" ht="22" customHeight="1">
      <c r="A16" s="71" t="inlineStr">
        <is>
          <t>SCN-02</t>
        </is>
      </c>
      <c r="B16" s="75">
        <f>E7</f>
        <v/>
      </c>
      <c r="C16" s="99">
        <f>B16*3582500</f>
        <v/>
      </c>
      <c r="D16" s="99">
        <f>B16*79930</f>
        <v/>
      </c>
      <c r="E16" s="99">
        <f>B16*7223</f>
        <v/>
      </c>
      <c r="F16" s="99">
        <f>B16*4738</f>
        <v/>
      </c>
      <c r="G16" s="99" t="n">
        <v>2675000</v>
      </c>
      <c r="H16" s="99">
        <f>B16*139006</f>
        <v/>
      </c>
      <c r="I16" s="100">
        <f>SUM(C16:H16)</f>
        <v/>
      </c>
      <c r="J16" s="99">
        <f>I16/B16</f>
        <v/>
      </c>
      <c r="K16" s="99" t="n">
        <v>4350000</v>
      </c>
      <c r="L16" s="100">
        <f>B16*K16</f>
        <v/>
      </c>
      <c r="M16" s="100">
        <f>L16-I16</f>
        <v/>
      </c>
      <c r="N16" s="101">
        <f>M16/L16</f>
        <v/>
      </c>
      <c r="O16" s="99">
        <f>M16*25</f>
        <v/>
      </c>
      <c r="P16" s="99">
        <f>I16*30</f>
        <v/>
      </c>
      <c r="Q16" s="99">
        <f>I16*60</f>
        <v/>
      </c>
      <c r="R16" s="100">
        <f>I16*90</f>
        <v/>
      </c>
    </row>
    <row r="17" ht="22" customHeight="1">
      <c r="A17" s="78" t="inlineStr">
        <is>
          <t>SCN-03</t>
        </is>
      </c>
      <c r="B17" s="82">
        <f>E8</f>
        <v/>
      </c>
      <c r="C17" s="96">
        <f>B17*3582500</f>
        <v/>
      </c>
      <c r="D17" s="96">
        <f>B17*79930</f>
        <v/>
      </c>
      <c r="E17" s="96">
        <f>B17*7223</f>
        <v/>
      </c>
      <c r="F17" s="96">
        <f>B17*4738</f>
        <v/>
      </c>
      <c r="G17" s="96" t="n">
        <v>4776785</v>
      </c>
      <c r="H17" s="96">
        <f>B17*139006</f>
        <v/>
      </c>
      <c r="I17" s="97">
        <f>SUM(C17:H17)</f>
        <v/>
      </c>
      <c r="J17" s="96">
        <f>I17/B17</f>
        <v/>
      </c>
      <c r="K17" s="96" t="n">
        <v>4350000</v>
      </c>
      <c r="L17" s="97">
        <f>B17*K17</f>
        <v/>
      </c>
      <c r="M17" s="97">
        <f>L17-I17</f>
        <v/>
      </c>
      <c r="N17" s="98">
        <f>M17/L17</f>
        <v/>
      </c>
      <c r="O17" s="96">
        <f>M17*25</f>
        <v/>
      </c>
      <c r="P17" s="96">
        <f>I17*30</f>
        <v/>
      </c>
      <c r="Q17" s="96">
        <f>I17*60</f>
        <v/>
      </c>
      <c r="R17" s="97">
        <f>I17*90</f>
        <v/>
      </c>
    </row>
    <row r="18" ht="22" customHeight="1">
      <c r="A18" s="71" t="inlineStr">
        <is>
          <t>SCN-04</t>
        </is>
      </c>
      <c r="B18" s="75">
        <f>E9</f>
        <v/>
      </c>
      <c r="C18" s="99">
        <f>B18*3582500</f>
        <v/>
      </c>
      <c r="D18" s="99">
        <f>B18*79930</f>
        <v/>
      </c>
      <c r="E18" s="99">
        <f>B18*7223</f>
        <v/>
      </c>
      <c r="F18" s="99">
        <f>B18*4738</f>
        <v/>
      </c>
      <c r="G18" s="99" t="n">
        <v>5617500</v>
      </c>
      <c r="H18" s="99">
        <f>B18*139006</f>
        <v/>
      </c>
      <c r="I18" s="100">
        <f>SUM(C18:H18)</f>
        <v/>
      </c>
      <c r="J18" s="99">
        <f>I18/B18</f>
        <v/>
      </c>
      <c r="K18" s="99" t="n">
        <v>4350000</v>
      </c>
      <c r="L18" s="100">
        <f>B18*K18</f>
        <v/>
      </c>
      <c r="M18" s="100">
        <f>L18-I18</f>
        <v/>
      </c>
      <c r="N18" s="101">
        <f>M18/L18</f>
        <v/>
      </c>
      <c r="O18" s="99">
        <f>M18*25</f>
        <v/>
      </c>
      <c r="P18" s="99">
        <f>I18*30</f>
        <v/>
      </c>
      <c r="Q18" s="99">
        <f>I18*60</f>
        <v/>
      </c>
      <c r="R18" s="100">
        <f>I18*90</f>
        <v/>
      </c>
    </row>
    <row r="19">
      <c r="A19" s="78" t="inlineStr">
        <is>
          <t>SCN-05</t>
        </is>
      </c>
      <c r="B19" s="82">
        <f>E10</f>
        <v/>
      </c>
      <c r="C19" s="96">
        <f>B19*3582500</f>
        <v/>
      </c>
      <c r="D19" s="96">
        <f>B19*79930</f>
        <v/>
      </c>
      <c r="E19" s="96">
        <f>B19*7223</f>
        <v/>
      </c>
      <c r="F19" s="96">
        <f>B19*4738</f>
        <v/>
      </c>
      <c r="G19" s="96" t="n">
        <v>7720000</v>
      </c>
      <c r="H19" s="96">
        <f>B19*139006</f>
        <v/>
      </c>
      <c r="I19" s="97">
        <f>SUM(C19:H19)</f>
        <v/>
      </c>
      <c r="J19" s="96">
        <f>I19/B19</f>
        <v/>
      </c>
      <c r="K19" s="96" t="n">
        <v>4350000</v>
      </c>
      <c r="L19" s="97">
        <f>B19*K19</f>
        <v/>
      </c>
      <c r="M19" s="97">
        <f>L19-I19</f>
        <v/>
      </c>
      <c r="N19" s="98">
        <f>M19/L19</f>
        <v/>
      </c>
      <c r="O19" s="96">
        <f>M19*25</f>
        <v/>
      </c>
      <c r="P19" s="96">
        <f>I19*30</f>
        <v/>
      </c>
      <c r="Q19" s="96">
        <f>I19*60</f>
        <v/>
      </c>
      <c r="R19" s="97">
        <f>I19*90</f>
        <v/>
      </c>
    </row>
    <row r="20">
      <c r="A20" s="102" t="inlineStr">
        <is>
          <t>SCN-06</t>
        </is>
      </c>
      <c r="B20" s="103">
        <f>E11</f>
        <v/>
      </c>
      <c r="C20" s="104">
        <f>B20*3582500</f>
        <v/>
      </c>
      <c r="D20" s="104">
        <f>B20*79930</f>
        <v/>
      </c>
      <c r="E20" s="104">
        <f>B20*7223</f>
        <v/>
      </c>
      <c r="F20" s="104">
        <f>B20*4738</f>
        <v/>
      </c>
      <c r="G20" s="104" t="n">
        <v>9844000</v>
      </c>
      <c r="H20" s="104">
        <f>B20*139006</f>
        <v/>
      </c>
      <c r="I20" s="105">
        <f>SUM(C20:H20)</f>
        <v/>
      </c>
      <c r="J20" s="104">
        <f>I20/B20</f>
        <v/>
      </c>
      <c r="K20" s="104" t="n">
        <v>4350000</v>
      </c>
      <c r="L20" s="105">
        <f>B20*K20</f>
        <v/>
      </c>
      <c r="M20" s="105">
        <f>L20-I20</f>
        <v/>
      </c>
      <c r="N20" s="106">
        <f>M20/L20</f>
        <v/>
      </c>
      <c r="O20" s="104">
        <f>M20*25</f>
        <v/>
      </c>
      <c r="P20" s="104">
        <f>I20*30</f>
        <v/>
      </c>
      <c r="Q20" s="104">
        <f>I20*60</f>
        <v/>
      </c>
      <c r="R20" s="105">
        <f>I20*90</f>
        <v/>
      </c>
    </row>
    <row r="21" ht="26" customHeight="1">
      <c r="A21" s="36" t="n"/>
      <c r="B21" s="36" t="n"/>
      <c r="C21" s="36" t="n"/>
      <c r="D21" s="36" t="n"/>
      <c r="E21" s="36" t="n"/>
      <c r="F21" s="36" t="n"/>
      <c r="G21" s="36" t="n"/>
    </row>
    <row r="22" ht="45" customHeight="1">
      <c r="A22" s="107" t="inlineStr">
        <is>
          <t>BAGIAN 3: ANALISIS DINAMIKA INDUSTRI LOKAL INDONESIA &amp; STRATEGI MITIGASI RISIKO OPERASIONAL</t>
        </is>
      </c>
      <c r="B22" s="64" t="n"/>
      <c r="C22" s="65" t="n"/>
      <c r="D22" s="65" t="n"/>
      <c r="E22" s="64" t="n"/>
      <c r="F22" s="63" t="n"/>
      <c r="G22" s="65" t="n"/>
    </row>
    <row r="23" ht="45" customHeight="1">
      <c r="A23" s="70" t="inlineStr">
        <is>
          <t>No</t>
        </is>
      </c>
      <c r="B23" s="70" t="inlineStr">
        <is>
          <t>Faktor Dinamika Lokal</t>
        </is>
      </c>
      <c r="C23" s="70" t="inlineStr">
        <is>
          <t>Deskripsi Kejadian Riil di Lapangan</t>
        </is>
      </c>
      <c r="D23" s="70" t="inlineStr">
        <is>
          <t>Dampak Langsung ke SCADA / Plant</t>
        </is>
      </c>
      <c r="E23" s="70" t="inlineStr">
        <is>
          <t>Sensitivitas Angka / Batasan</t>
        </is>
      </c>
      <c r="F23" s="70" t="inlineStr">
        <is>
          <t>Skenario Terdampak</t>
        </is>
      </c>
      <c r="G23" s="70" t="inlineStr">
        <is>
          <t>SOP &amp; Strategi Mitigasi Teruji</t>
        </is>
      </c>
    </row>
    <row r="24" ht="45" customHeight="1">
      <c r="A24" s="71" t="n">
        <v>1</v>
      </c>
      <c r="B24" s="108" t="inlineStr">
        <is>
          <t>Regulasi Jam Masuk Truk &amp; Jalur Tol Arteri</t>
        </is>
      </c>
      <c r="C24" s="72" t="inlineStr">
        <is>
          <t>Pembatasan truk sumbu 3 / tronton di jalan tol &amp; arteri pada jam sibuk (06:00-09:00 &amp; 16:00-19:00 WIB) serta larangan angkutan barang saat libur Nataru dan Lebaran oleh Kemenhub.</t>
        </is>
      </c>
      <c r="D24" s="72" t="inlineStr">
        <is>
          <t>Truk bahan mentah tertahan di luar area industri, menyebabkan stockpile bentonite menipis mendadak di tengah produksi.</t>
        </is>
      </c>
      <c r="E24" s="72" t="inlineStr">
        <is>
          <t>Buffer stockpile bentonite (134,4 T) hanya bertahan 4,0 s.d. 8,4 jam operasional saat pabrik digeber penuh.</t>
        </is>
      </c>
      <c r="F24" s="109" t="inlineStr">
        <is>
          <t>SCN-03 s.d. SCN-06</t>
        </is>
      </c>
      <c r="G24" s="72" t="inlineStr">
        <is>
          <t>Jadwal penerimaan inbound digeser ke malam hari (22:00 - 05:00 WIB) menggunakan sistem reservasi barcode logistik terpadu.</t>
        </is>
      </c>
    </row>
    <row r="25" ht="45" customHeight="1">
      <c r="A25" s="78" t="n">
        <v>2</v>
      </c>
      <c r="B25" s="110" t="inlineStr">
        <is>
          <t>Penegakan Kebijakan Zero ODOL (Over Dimension Over Load)</t>
        </is>
      </c>
      <c r="C25" s="79" t="inlineStr">
        <is>
          <t>Penertiban jembatan timbang Kemenhub secara ketat membatasi muatan bersih truk tronton maksimal 30 Ton netto per ritase.</t>
        </is>
      </c>
      <c r="D25" s="79" t="inlineStr">
        <is>
          <t>Pabrik tidak dapat memadatkan muatan menjadi 40-45 Ton/truk. Frekuensi armada truk di jalan raya wajib meningkat drastis.</t>
        </is>
      </c>
      <c r="E25" s="79" t="inlineStr">
        <is>
          <t>Butuh 14 rit truk outbound + 15 rit inbound per hari pada Skenario 6 (Total 29 rit truk melintas di jembatan timbang internal).</t>
        </is>
      </c>
      <c r="F25" s="111" t="inlineStr">
        <is>
          <t>SCN-04, SCN-05, SCN-06</t>
        </is>
      </c>
      <c r="G25" s="79" t="inlineStr">
        <is>
          <t>Kemitraan multi-transporter (minimal 3 konsorsium ekspedisi terverifikasi) dan standardisasi jembatan timbang internal EQ-WB-01.</t>
        </is>
      </c>
    </row>
    <row r="26" ht="45" customHeight="1">
      <c r="A26" s="71" t="n">
        <v>3</v>
      </c>
      <c r="B26" s="108" t="inlineStr">
        <is>
          <t>Fluktuasi Cuaca Musim Hujan (Wet Season Tambang Open Pit)</t>
        </is>
      </c>
      <c r="C26" s="72" t="inlineStr">
        <is>
          <t>Tambang bentonite di Pulau Jawa merupakan tambang terbuka (open-pit). Saat musim hujan (Okt-Mar), kadar air (moisture) bahan mentah melonjak dari 18% ke 32-35%.</t>
        </is>
      </c>
      <c r="D26" s="72" t="inlineStr">
        <is>
          <t>Beban termal rotary dryer naik signifikan, konsumsi gas PGN naik 15-20%, serta risiko penyumbatan (choked) pada vibrating screen &amp; conveyor.</t>
        </is>
      </c>
      <c r="E26" s="72" t="inlineStr">
        <is>
          <t>Konsumsi PGN naik dari 6,8 MMBTU/jam ke 8,2 MMBTU/jam (Tambahan beban gas ~Rp 1,5 Juta - Rp 2,2 Juta/hari).</t>
        </is>
      </c>
      <c r="F26" s="109" t="inlineStr">
        <is>
          <t>Semua Skenario (SCN-01 s.d. SCN-06)</t>
        </is>
      </c>
      <c r="G26" s="72" t="inlineStr">
        <is>
          <t>Pemasangan atap terpal kanopi ganda di Stockpile Yard 1 &amp; 2 serta kontrol suhu burner otomatis modulasi SCADA.</t>
        </is>
      </c>
    </row>
    <row r="27">
      <c r="A27" s="78" t="n">
        <v>4</v>
      </c>
      <c r="B27" s="110" t="inlineStr">
        <is>
          <t>Keterbatasan Buffer Bin Silo (72 m³ / 86,4 T) &amp; Bottleneck Bay</t>
        </is>
      </c>
      <c r="C27" s="79" t="inlineStr">
        <is>
          <t>Bin Silo produk akhir hanya memiliki volume 72 m³. Pada kapasitas puncak 420 Ton/hari, silo penuh hanya dalam waktu 4,1 jam jika truk tangki terlambat merapat.</t>
        </is>
      </c>
      <c r="D27" s="79" t="inlineStr">
        <is>
          <t>Silo blockage high-level alarm menyala, memaksa rotary dryer dimatikan darurat (risiko bahan bakar terbuang &amp; reheat burner Rp 17,2 - 20,5 Juta).</t>
        </is>
      </c>
      <c r="E27" s="79" t="inlineStr">
        <is>
          <t>Loading bay harus melayani 1 rit truk tangki curah (30 Ton) setiap 85 s.d. 90 menit tanpa jeda sedikit pun.</t>
        </is>
      </c>
      <c r="F27" s="111" t="inlineStr">
        <is>
          <t>SCN-04, SCN-05, SCN-06</t>
        </is>
      </c>
      <c r="G27" s="79" t="inlineStr">
        <is>
          <t>Penerapan sistem Staging Buffer Jumbo Bag 1 Ton (PK-JMB-07) di gudang samping dengan kapasitas buffer darurat 200 Ton.</t>
        </is>
      </c>
    </row>
    <row r="28">
      <c r="A28" s="71" t="n">
        <v>5</v>
      </c>
      <c r="B28" s="108" t="inlineStr">
        <is>
          <t>Term of Payment (TOP) Pengadaan Pemerintah &amp; BUMN Karya (60-90 Hari)</t>
        </is>
      </c>
      <c r="C28" s="72" t="inlineStr">
        <is>
          <t>Proyek infrastruktur pemerintah (KemenPUPR, IKN, BUMN Karya) memiliki siklus pencairan 60 s.d. 90 hari setelah BAST dan verifikasi laboratorium terbit.</t>
        </is>
      </c>
      <c r="D28" s="72" t="inlineStr">
        <is>
          <t>Cash flow gap: Pembelian bahan baku tunai/tempo 14 hari dan tagihan gas PGN jatuh tempo tgl 20, sedangkan piutang tertahan puluhan miliar rupiah.</t>
        </is>
      </c>
      <c r="E28" s="72" t="inlineStr">
        <is>
          <t>Kebutuhan modal kerja mencapai Rp 61 Miliar (SCN-04) hingga Rp 144,1 Miliar (SCN-06) per siklus 90 hari pemesanan masif.</t>
        </is>
      </c>
      <c r="F28" s="109" t="inlineStr">
        <is>
          <t>SCN-04, SCN-05, SCN-06</t>
        </is>
      </c>
      <c r="G28" s="72" t="inlineStr">
        <is>
          <t>Mewajibkan Down Payment (DP) tender 20-30%, memanfaatkan fasilitas perbankan Supply Chain Financing (SCF) / SKBDN, dan negosiasi tempo tambang.</t>
        </is>
      </c>
    </row>
    <row r="29">
      <c r="A29" s="78" t="n">
        <v>6</v>
      </c>
      <c r="B29" s="110" t="inlineStr">
        <is>
          <t>Regulasi Ketenagakerjaan (Batas Lembur &amp; Skema Multi-Shift)</t>
        </is>
      </c>
      <c r="C29" s="79" t="inlineStr">
        <is>
          <t>UU Cipta Kerja No. 11/2020 &amp; PP 35/2021 membatasi kerja lembur maksimal 4 jam/hari dan 18 jam/minggu untuk melindungi K3 operator.</t>
        </is>
      </c>
      <c r="D29" s="79" t="inlineStr">
        <is>
          <t>Operasional di atas 10 jam kerja per hari TIDAK BOLEH hanya mengandalkan lembur 1 shift, melainkan WAJIB membuka Shift 2 atau Shift 3.</t>
        </is>
      </c>
      <c r="E29" s="79" t="inlineStr">
        <is>
          <t>Biaya SDM naik dari Rp 2,67 Juta/hari (1 Shift) menjadi Rp 5,61 Juta (2 Shift) dan Rp 9,84 Juta (3 Shift 4 regu rotasi).</t>
        </is>
      </c>
      <c r="F29" s="111" t="inlineStr">
        <is>
          <t>SCN-03 s.d. SCN-06</t>
        </is>
      </c>
      <c r="G29" s="79" t="inlineStr">
        <is>
          <t>Rekrutmen tenaga kerja musiman bersertifikasi K3 dan penerapan skema roster kerja 3 shift 4 regu rotasi (siklus 6 hari kerja 2 hari off).</t>
        </is>
      </c>
    </row>
    <row r="30">
      <c r="A30" s="71" t="n">
        <v>7</v>
      </c>
      <c r="B30" s="108" t="inlineStr">
        <is>
          <t>Stres Termal &amp; Keausan Mekis Mesin Rotary Drum Dryer Kontinu</t>
        </is>
      </c>
      <c r="C30" s="72" t="inlineStr">
        <is>
          <t>Rotary Dryer berputar pada suhu 220°C. Operasional terus menerus 21 jam/hari menyebabkan keausan bearing roll dan pemuaian refractory brick furnace.</t>
        </is>
      </c>
      <c r="D30" s="72" t="inlineStr">
        <is>
          <t>Risiko breakdown fatal akibat bearing overheat jika tidak ada jeda pendinginan dan pelumasan teratur.</t>
        </is>
      </c>
      <c r="E30" s="72" t="inlineStr">
        <is>
          <t>Kehilangan output 20 Ton/jam dan biaya downtime mekanis hingga puluhan juta rupiah.</t>
        </is>
      </c>
      <c r="F30" s="109" t="inlineStr">
        <is>
          <t>SCN-05, SCN-06</t>
        </is>
      </c>
      <c r="G30" s="72" t="inlineStr">
        <is>
          <t>Menyisakan jeda 3 jam per hari (1 jam per pergantian shift) untuk inspeksi thermal gun, re-greasing suhu tinggi, dan pembersihan filter baghouse.</t>
        </is>
      </c>
    </row>
    <row r="31">
      <c r="A31" s="78" t="n">
        <v>8</v>
      </c>
      <c r="B31" s="110" t="inlineStr">
        <is>
          <t>Keterbatasan Ketersediaan Truk Ekspedisi Pihak Ketiga (3PL Deficit)</t>
        </is>
      </c>
      <c r="C31" s="79" t="inlineStr">
        <is>
          <t>Pada bulan-bulan puncak proyek konstruksi nasional, permintaan truk tronton tangki dan bak curah di pasar logistik lokal melonjak drastis.</t>
        </is>
      </c>
      <c r="D31" s="79" t="inlineStr">
        <is>
          <t>Kelangkaan armada truk sewa yang siap melayani ritase harian tepat waktu.</t>
        </is>
      </c>
      <c r="E31" s="79" t="inlineStr">
        <is>
          <t>Terjadi penumpukan produk jadi di silo pabrik dan denda penalti keterlambatan pengiriman ke lokasi proyek pemerintah.</t>
        </is>
      </c>
      <c r="F31" s="111" t="inlineStr">
        <is>
          <t>SCN-04, SCN-05, SCN-06</t>
        </is>
      </c>
      <c r="G31" s="79" t="inlineStr">
        <is>
          <t>Menjalin kontrak eksklusif jangka panjang (Dedicated Fleet SLA) dengan 3 perusahaan logistik berbeda dengan jaminan denda penggantian armada.</t>
        </is>
      </c>
    </row>
    <row r="33">
      <c r="A33" s="112" t="inlineStr">
        <is>
          <t>BAGIAN 4: SIMULASI JADWAL DISPATCH LOGISTIK PEAK DAY (TIMELINE PER JAM: 07:00 - 23:00 WIB)</t>
        </is>
      </c>
    </row>
    <row r="34">
      <c r="A34" s="70" t="inlineStr">
        <is>
          <t>Jam (WIB)</t>
        </is>
      </c>
      <c r="B34" s="70" t="inlineStr">
        <is>
          <t>Status Operasional SCADA</t>
        </is>
      </c>
      <c r="C34" s="70" t="inlineStr">
        <is>
          <t>Inbound Truk Masuk (Bahan)</t>
        </is>
      </c>
      <c r="D34" s="70" t="inlineStr">
        <is>
          <t>Outbound Truk Keluar (Produk)</t>
        </is>
      </c>
      <c r="E34" s="70" t="inlineStr">
        <is>
          <t>Tonase Masuk (T)</t>
        </is>
      </c>
      <c r="F34" s="70" t="inlineStr">
        <is>
          <t>Tonase Keluar (T)</t>
        </is>
      </c>
      <c r="G34" s="70" t="inlineStr">
        <is>
          <t>Level Stockpile Bentonite (T)</t>
        </is>
      </c>
      <c r="H34" s="70" t="inlineStr">
        <is>
          <t>Level Bin Silo (T)</t>
        </is>
      </c>
      <c r="I34" s="70" t="inlineStr">
        <is>
          <t>Aktivitas Jembatan Timbang EQ-WB-01</t>
        </is>
      </c>
      <c r="J34" s="70" t="inlineStr">
        <is>
          <t>Catatan Kontrol Logistik</t>
        </is>
      </c>
    </row>
    <row r="35">
      <c r="A35" s="78" t="inlineStr">
        <is>
          <t>07:00 - 08:00</t>
        </is>
      </c>
      <c r="B35" s="79" t="inlineStr">
        <is>
          <t>Shift 1 Start / Preheating Burner</t>
        </is>
      </c>
      <c r="C35" s="79" t="inlineStr">
        <is>
          <t>Truk Inbound 1 (Bentonite)</t>
        </is>
      </c>
      <c r="D35" s="79" t="inlineStr">
        <is>
          <t>-</t>
        </is>
      </c>
      <c r="E35" s="81" t="n">
        <v>30</v>
      </c>
      <c r="F35" s="81" t="n">
        <v>0</v>
      </c>
      <c r="G35" s="82" t="n">
        <v>114.4</v>
      </c>
      <c r="H35" s="81" t="n">
        <v>30</v>
      </c>
      <c r="I35" s="79" t="inlineStr">
        <is>
          <t>Timbang Masuk Inbound 1</t>
        </is>
      </c>
      <c r="J35" s="79" t="inlineStr">
        <is>
          <t>Stok awal bentonite 100T terisi truk malam</t>
        </is>
      </c>
    </row>
    <row r="36">
      <c r="A36" s="71" t="inlineStr">
        <is>
          <t>08:00 - 09:00</t>
        </is>
      </c>
      <c r="B36" s="72" t="inlineStr">
        <is>
          <t>Produksi Aktif (20 Ton/Jam)</t>
        </is>
      </c>
      <c r="C36" s="72" t="inlineStr">
        <is>
          <t>Truk Inbound 2 (Bentonite)</t>
        </is>
      </c>
      <c r="D36" s="72" t="inlineStr">
        <is>
          <t>Truk Outbound 1 (30 Ton)</t>
        </is>
      </c>
      <c r="E36" s="74" t="n">
        <v>30</v>
      </c>
      <c r="F36" s="74" t="n">
        <v>30</v>
      </c>
      <c r="G36" s="75" t="n">
        <v>128.4</v>
      </c>
      <c r="H36" s="74" t="n">
        <v>20</v>
      </c>
      <c r="I36" s="72" t="inlineStr">
        <is>
          <t>Timbang Inbound 2 &amp; Outbound 1</t>
        </is>
      </c>
      <c r="J36" s="72" t="inlineStr">
        <is>
          <t>Ritme loading tangki produk pertama lancar</t>
        </is>
      </c>
    </row>
    <row r="37">
      <c r="A37" s="78" t="inlineStr">
        <is>
          <t>09:00 - 10:00</t>
        </is>
      </c>
      <c r="B37" s="79" t="inlineStr">
        <is>
          <t>Produksi Aktif (20 Ton/Jam)</t>
        </is>
      </c>
      <c r="C37" s="79" t="inlineStr">
        <is>
          <t>Truk Inbound 3 (Calsium)</t>
        </is>
      </c>
      <c r="D37" s="79" t="inlineStr">
        <is>
          <t>-</t>
        </is>
      </c>
      <c r="E37" s="81" t="n">
        <v>30</v>
      </c>
      <c r="F37" s="81" t="n">
        <v>0</v>
      </c>
      <c r="G37" s="82" t="n">
        <v>112.4</v>
      </c>
      <c r="H37" s="81" t="n">
        <v>40</v>
      </c>
      <c r="I37" s="79" t="inlineStr">
        <is>
          <t>Timbang Inbound 3 (Calsium)</t>
        </is>
      </c>
      <c r="J37" s="79" t="inlineStr">
        <is>
          <t>Calsium dibongkar di Stockpile Bay 2</t>
        </is>
      </c>
    </row>
    <row r="38">
      <c r="A38" s="71" t="inlineStr">
        <is>
          <t>10:00 - 11:00</t>
        </is>
      </c>
      <c r="B38" s="72" t="inlineStr">
        <is>
          <t>Produksi Aktif (20 Ton/Jam)</t>
        </is>
      </c>
      <c r="C38" s="72" t="inlineStr">
        <is>
          <t>Truk Inbound 4 (Bentonite)</t>
        </is>
      </c>
      <c r="D38" s="72" t="inlineStr">
        <is>
          <t>Truk Outbound 2 (30 Ton)</t>
        </is>
      </c>
      <c r="E38" s="74" t="n">
        <v>30</v>
      </c>
      <c r="F38" s="74" t="n">
        <v>30</v>
      </c>
      <c r="G38" s="75" t="n">
        <v>126.4</v>
      </c>
      <c r="H38" s="74" t="n">
        <v>30</v>
      </c>
      <c r="I38" s="72" t="inlineStr">
        <is>
          <t>Timbang Inbound 4 &amp; Outbound 2</t>
        </is>
      </c>
      <c r="J38" s="72" t="inlineStr">
        <is>
          <t>Stockpile bentonite terjaga di atas 120 Ton</t>
        </is>
      </c>
    </row>
    <row r="39">
      <c r="A39" s="78" t="inlineStr">
        <is>
          <t>11:00 - 12:00</t>
        </is>
      </c>
      <c r="B39" s="79" t="inlineStr">
        <is>
          <t>Produksi Aktif (20 Ton/Jam)</t>
        </is>
      </c>
      <c r="C39" s="79" t="inlineStr">
        <is>
          <t>Truk Inbound 5 (Soda Ash)</t>
        </is>
      </c>
      <c r="D39" s="79" t="inlineStr">
        <is>
          <t>-</t>
        </is>
      </c>
      <c r="E39" s="81" t="n">
        <v>20</v>
      </c>
      <c r="F39" s="81" t="n">
        <v>0</v>
      </c>
      <c r="G39" s="82" t="n">
        <v>110.4</v>
      </c>
      <c r="H39" s="81" t="n">
        <v>50</v>
      </c>
      <c r="I39" s="79" t="inlineStr">
        <is>
          <t>Timbang Inbound 5 (Soda Ash)</t>
        </is>
      </c>
      <c r="J39" s="79" t="inlineStr">
        <is>
          <t>Dosing tank soda ash terisi penuh</t>
        </is>
      </c>
    </row>
    <row r="40">
      <c r="A40" s="71" t="inlineStr">
        <is>
          <t>12:00 - 13:00</t>
        </is>
      </c>
      <c r="B40" s="72" t="inlineStr">
        <is>
          <t>Rotasi Shift / Istirahat Parsial</t>
        </is>
      </c>
      <c r="C40" s="72" t="inlineStr">
        <is>
          <t>-</t>
        </is>
      </c>
      <c r="D40" s="72" t="inlineStr">
        <is>
          <t>Truk Outbound 3 (30 Ton)</t>
        </is>
      </c>
      <c r="E40" s="74" t="n">
        <v>0</v>
      </c>
      <c r="F40" s="74" t="n">
        <v>30</v>
      </c>
      <c r="G40" s="75" t="n">
        <v>110.4</v>
      </c>
      <c r="H40" s="74" t="n">
        <v>20</v>
      </c>
      <c r="I40" s="72" t="inlineStr">
        <is>
          <t>Timbang Outbound 3</t>
        </is>
      </c>
      <c r="J40" s="72" t="inlineStr">
        <is>
          <t>Burner low fire standby, loading bay tetap jalan</t>
        </is>
      </c>
    </row>
    <row r="41">
      <c r="A41" s="78" t="inlineStr">
        <is>
          <t>13:00 - 14:00</t>
        </is>
      </c>
      <c r="B41" s="79" t="inlineStr">
        <is>
          <t>Produksi Aktif (20 Ton/Jam)</t>
        </is>
      </c>
      <c r="C41" s="79" t="inlineStr">
        <is>
          <t>Truk Inbound 6 (Bentonite)</t>
        </is>
      </c>
      <c r="D41" s="79" t="inlineStr">
        <is>
          <t>-</t>
        </is>
      </c>
      <c r="E41" s="81" t="n">
        <v>30</v>
      </c>
      <c r="F41" s="81" t="n">
        <v>0</v>
      </c>
      <c r="G41" s="82" t="n">
        <v>124.4</v>
      </c>
      <c r="H41" s="81" t="n">
        <v>40</v>
      </c>
      <c r="I41" s="79" t="inlineStr">
        <is>
          <t>Timbang Inbound 6 (Bentonite)</t>
        </is>
      </c>
      <c r="J41" s="79" t="inlineStr">
        <is>
          <t>Pasokan siang masuk tepat waktu</t>
        </is>
      </c>
    </row>
    <row r="42">
      <c r="A42" s="71" t="inlineStr">
        <is>
          <t>14:00 - 15:00</t>
        </is>
      </c>
      <c r="B42" s="72" t="inlineStr">
        <is>
          <t>Produksi Aktif (20 Ton/Jam)</t>
        </is>
      </c>
      <c r="C42" s="72" t="inlineStr">
        <is>
          <t>-</t>
        </is>
      </c>
      <c r="D42" s="72" t="inlineStr">
        <is>
          <t>Truk Outbound 4 (30 Ton)</t>
        </is>
      </c>
      <c r="E42" s="74" t="n">
        <v>0</v>
      </c>
      <c r="F42" s="74" t="n">
        <v>30</v>
      </c>
      <c r="G42" s="75" t="n">
        <v>108.4</v>
      </c>
      <c r="H42" s="74" t="n">
        <v>30</v>
      </c>
      <c r="I42" s="72" t="inlineStr">
        <is>
          <t>Timbang Outbound 4</t>
        </is>
      </c>
      <c r="J42" s="72" t="inlineStr">
        <is>
          <t>Pengiriman 120 Ton pertama tercapai</t>
        </is>
      </c>
    </row>
    <row r="43">
      <c r="A43" s="78" t="inlineStr">
        <is>
          <t>15:00 - 16:00</t>
        </is>
      </c>
      <c r="B43" s="79" t="inlineStr">
        <is>
          <t>Shift 2 Handover / Inspeksi Mesin</t>
        </is>
      </c>
      <c r="C43" s="79" t="inlineStr">
        <is>
          <t>Truk Inbound 7 (Bentonite)</t>
        </is>
      </c>
      <c r="D43" s="79" t="inlineStr">
        <is>
          <t>-</t>
        </is>
      </c>
      <c r="E43" s="81" t="n">
        <v>30</v>
      </c>
      <c r="F43" s="81" t="n">
        <v>0</v>
      </c>
      <c r="G43" s="82" t="n">
        <v>122.4</v>
      </c>
      <c r="H43" s="81" t="n">
        <v>50</v>
      </c>
      <c r="I43" s="79" t="inlineStr">
        <is>
          <t>Timbang Inbound 7 (Bentonite)</t>
        </is>
      </c>
      <c r="J43" s="79" t="inlineStr">
        <is>
          <t>Pemeriksaan pelumasan roll bearing 15 menit</t>
        </is>
      </c>
    </row>
    <row r="44">
      <c r="A44" s="71" t="inlineStr">
        <is>
          <t>16:00 - 17:00</t>
        </is>
      </c>
      <c r="B44" s="72" t="inlineStr">
        <is>
          <t>Produksi Aktif (20 Ton/Jam)</t>
        </is>
      </c>
      <c r="C44" s="72" t="inlineStr">
        <is>
          <t>-</t>
        </is>
      </c>
      <c r="D44" s="72" t="inlineStr">
        <is>
          <t>Truk Outbound 5 (30 Ton)</t>
        </is>
      </c>
      <c r="E44" s="74" t="n">
        <v>0</v>
      </c>
      <c r="F44" s="74" t="n">
        <v>30</v>
      </c>
      <c r="G44" s="75" t="n">
        <v>106.4</v>
      </c>
      <c r="H44" s="74" t="n">
        <v>40</v>
      </c>
      <c r="I44" s="72" t="inlineStr">
        <is>
          <t>Timbang Outbound 5</t>
        </is>
      </c>
      <c r="J44" s="72" t="inlineStr">
        <is>
          <t>Truk tangki proyek jalan sebelum jam sibuk</t>
        </is>
      </c>
    </row>
    <row r="45">
      <c r="A45" s="78" t="inlineStr">
        <is>
          <t>17:00 - 18:00</t>
        </is>
      </c>
      <c r="B45" s="79" t="inlineStr">
        <is>
          <t>Produksi Aktif (20 Ton/Jam)</t>
        </is>
      </c>
      <c r="C45" s="79" t="inlineStr">
        <is>
          <t>Truk Inbound 8 (Bentonite)</t>
        </is>
      </c>
      <c r="D45" s="79" t="inlineStr">
        <is>
          <t>-</t>
        </is>
      </c>
      <c r="E45" s="81" t="n">
        <v>30</v>
      </c>
      <c r="F45" s="81" t="n">
        <v>0</v>
      </c>
      <c r="G45" s="82" t="n">
        <v>120.4</v>
      </c>
      <c r="H45" s="81" t="n">
        <v>60</v>
      </c>
      <c r="I45" s="79" t="inlineStr">
        <is>
          <t>Timbang Inbound 8 (Bentonite)</t>
        </is>
      </c>
      <c r="J45" s="79" t="inlineStr">
        <is>
          <t>Level silo mendekati batas atas 60 Ton</t>
        </is>
      </c>
    </row>
    <row r="46">
      <c r="A46" s="71" t="inlineStr">
        <is>
          <t>18:00 - 19:00</t>
        </is>
      </c>
      <c r="B46" s="72" t="inlineStr">
        <is>
          <t>Produksi Aktif (20 Ton/Jam)</t>
        </is>
      </c>
      <c r="C46" s="72" t="inlineStr">
        <is>
          <t>-</t>
        </is>
      </c>
      <c r="D46" s="72" t="inlineStr">
        <is>
          <t>Truk Outbound 6 (30 Ton)</t>
        </is>
      </c>
      <c r="E46" s="74" t="n">
        <v>0</v>
      </c>
      <c r="F46" s="74" t="n">
        <v>30</v>
      </c>
      <c r="G46" s="75" t="n">
        <v>104.4</v>
      </c>
      <c r="H46" s="74" t="n">
        <v>50</v>
      </c>
      <c r="I46" s="72" t="inlineStr">
        <is>
          <t>Timbang Outbound 6</t>
        </is>
      </c>
      <c r="J46" s="72" t="inlineStr">
        <is>
          <t>Pelepasan muatan produk jadi ke-6</t>
        </is>
      </c>
    </row>
    <row r="47">
      <c r="A47" s="78" t="inlineStr">
        <is>
          <t>19:00 - 20:00</t>
        </is>
      </c>
      <c r="B47" s="79" t="inlineStr">
        <is>
          <t>Produksi Aktif (20 Ton/Jam)</t>
        </is>
      </c>
      <c r="C47" s="79" t="inlineStr">
        <is>
          <t>Truk Inbound 9 (Bentonite)</t>
        </is>
      </c>
      <c r="D47" s="79" t="inlineStr">
        <is>
          <t>-</t>
        </is>
      </c>
      <c r="E47" s="81" t="n">
        <v>30</v>
      </c>
      <c r="F47" s="81" t="n">
        <v>0</v>
      </c>
      <c r="G47" s="82" t="n">
        <v>118.4</v>
      </c>
      <c r="H47" s="81" t="n">
        <v>70</v>
      </c>
      <c r="I47" s="79" t="inlineStr">
        <is>
          <t>Timbang Inbound 9 (Bentonite)</t>
        </is>
      </c>
      <c r="J47" s="79" t="inlineStr">
        <is>
          <t>Antrean jembatan timbang terpantau lancar</t>
        </is>
      </c>
    </row>
    <row r="48">
      <c r="A48" s="71" t="inlineStr">
        <is>
          <t>20:00 - 21:00</t>
        </is>
      </c>
      <c r="B48" s="72" t="inlineStr">
        <is>
          <t>Produksi Aktif (20 Ton/Jam)</t>
        </is>
      </c>
      <c r="C48" s="72" t="inlineStr">
        <is>
          <t>-</t>
        </is>
      </c>
      <c r="D48" s="72" t="inlineStr">
        <is>
          <t>Truk Outbound 7 (30 Ton)</t>
        </is>
      </c>
      <c r="E48" s="74" t="n">
        <v>0</v>
      </c>
      <c r="F48" s="74" t="n">
        <v>30</v>
      </c>
      <c r="G48" s="75" t="n">
        <v>102.4</v>
      </c>
      <c r="H48" s="74" t="n">
        <v>60</v>
      </c>
      <c r="I48" s="72" t="inlineStr">
        <is>
          <t>Timbang Outbound 7</t>
        </is>
      </c>
      <c r="J48" s="72" t="inlineStr">
        <is>
          <t>Target 210 Ton tercapai</t>
        </is>
      </c>
    </row>
    <row r="49">
      <c r="A49" s="78" t="inlineStr">
        <is>
          <t>21:00 - 22:00</t>
        </is>
      </c>
      <c r="B49" s="79" t="inlineStr">
        <is>
          <t>Produksi Aktif (20 Ton/Jam)</t>
        </is>
      </c>
      <c r="C49" s="79" t="inlineStr">
        <is>
          <t>Truk Inbound 10 (Calsium)</t>
        </is>
      </c>
      <c r="D49" s="79" t="inlineStr">
        <is>
          <t>-</t>
        </is>
      </c>
      <c r="E49" s="81" t="n">
        <v>30</v>
      </c>
      <c r="F49" s="81" t="n">
        <v>0</v>
      </c>
      <c r="G49" s="82" t="n">
        <v>102.4</v>
      </c>
      <c r="H49" s="81" t="n">
        <v>80</v>
      </c>
      <c r="I49" s="79" t="inlineStr">
        <is>
          <t>Timbang Inbound 10 (Calsium)</t>
        </is>
      </c>
      <c r="J49" s="79" t="inlineStr">
        <is>
          <t>Waspada: Level Silo menyentuh 80 Ton!</t>
        </is>
      </c>
    </row>
    <row r="50">
      <c r="A50" s="71" t="inlineStr">
        <is>
          <t>22:00 - 23:00</t>
        </is>
      </c>
      <c r="B50" s="72" t="inlineStr">
        <is>
          <t>Persiapan Shift 3 / Night Shift</t>
        </is>
      </c>
      <c r="C50" s="72" t="inlineStr">
        <is>
          <t>Truk Inbound 11 (Bentonite)</t>
        </is>
      </c>
      <c r="D50" s="72" t="inlineStr">
        <is>
          <t>Truk Outbound 8 (30 Ton)</t>
        </is>
      </c>
      <c r="E50" s="74" t="n">
        <v>30</v>
      </c>
      <c r="F50" s="74" t="n">
        <v>30</v>
      </c>
      <c r="G50" s="75" t="n">
        <v>116.4</v>
      </c>
      <c r="H50" s="74" t="n">
        <v>70</v>
      </c>
      <c r="I50" s="72" t="inlineStr">
        <is>
          <t>Timbang Inbound 11 &amp; Outbound 8</t>
        </is>
      </c>
      <c r="J50" s="72" t="inlineStr">
        <is>
          <t>Truk ke-8 berhasil dispatch, silo turun ke 70T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2026-10-06T13:15:07Z</dcterms:created>
  <dcterms:modified xsi:type="dcterms:W3CDTF">2026-10-10T13:44:24Z</dcterms:modified>
  <cp:lastModifiedBy>am87827@gmail.com</cp:lastModifiedBy>
</cp:coreProperties>
</file>