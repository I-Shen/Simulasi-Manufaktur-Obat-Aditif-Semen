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m878\Downloads\"/>
    </mc:Choice>
  </mc:AlternateContent>
  <xr:revisionPtr revIDLastSave="0" documentId="13_ncr:1_{6ADEC9BA-12B7-4EDE-AF3E-74178AF4F8AB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Daftar &amp; Kamus Data" sheetId="1" r:id="rId1"/>
    <sheet name="master_bahan_baku" sheetId="2" r:id="rId2"/>
    <sheet name="master_fasilitas_storage" sheetId="3" r:id="rId3"/>
    <sheet name="log_logistik_inbound" sheetId="4" r:id="rId4"/>
    <sheet name="log_logistik_outbound" sheetId="5" r:id="rId5"/>
    <sheet name="telemetri_produksi_scada" sheetId="6" r:id="rId6"/>
    <sheet name="biaya_siklus_hpp" sheetId="7" r:id="rId7"/>
    <sheet name="insiden_downtime_bottleneck" sheetId="8" r:id="rId8"/>
    <sheet name="rekap_kinerja_eksekutif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8" l="1"/>
  <c r="N4" i="7"/>
  <c r="N5" i="7"/>
  <c r="N6" i="7"/>
  <c r="N7" i="7"/>
  <c r="N8" i="7"/>
  <c r="N9" i="7"/>
  <c r="J9" i="8" s="1"/>
  <c r="K9" i="8" s="1"/>
  <c r="N10" i="7"/>
  <c r="J10" i="8" s="1"/>
  <c r="K10" i="8" s="1"/>
  <c r="N11" i="7"/>
  <c r="N12" i="7"/>
  <c r="J12" i="8" s="1"/>
  <c r="K12" i="8" s="1"/>
  <c r="N3" i="7"/>
  <c r="J4" i="8"/>
  <c r="J5" i="8"/>
  <c r="J6" i="8"/>
  <c r="J7" i="8"/>
  <c r="J8" i="8"/>
  <c r="J11" i="8"/>
  <c r="K3" i="8"/>
  <c r="K4" i="8"/>
  <c r="K5" i="8"/>
  <c r="K8" i="8"/>
  <c r="K6" i="8"/>
  <c r="K7" i="8"/>
  <c r="K11" i="8"/>
  <c r="I3" i="8"/>
  <c r="I12" i="8"/>
  <c r="I11" i="8"/>
  <c r="I10" i="8"/>
  <c r="I9" i="8"/>
  <c r="I8" i="8"/>
  <c r="I7" i="8"/>
  <c r="I6" i="8"/>
  <c r="I5" i="8"/>
  <c r="I4" i="8"/>
</calcChain>
</file>

<file path=xl/sharedStrings.xml><?xml version="1.0" encoding="utf-8"?>
<sst xmlns="http://schemas.openxmlformats.org/spreadsheetml/2006/main" count="616" uniqueCount="451">
  <si>
    <t>DATABASE OPERASIONAL &amp; TELEMETRI SCADA</t>
  </si>
  <si>
    <t>PT. Pionir Nusantara Sukses - Bulk Mixing &amp; Drying Plant (20 Ton/Jam)</t>
  </si>
  <si>
    <t>No</t>
  </si>
  <si>
    <t>Nama Tabel</t>
  </si>
  <si>
    <t>Kategori Entitas</t>
  </si>
  <si>
    <t>Jumlah Kolom</t>
  </si>
  <si>
    <t>Jumlah Data</t>
  </si>
  <si>
    <t>Deskripsi Fungsional</t>
  </si>
  <si>
    <t>master_bahan_baku</t>
  </si>
  <si>
    <t>Master Reference</t>
  </si>
  <si>
    <t>Katalog bahan baku, densitas ruah (Bulk Density), formulasi (80:15:5), harga beli &amp; safety stock.</t>
  </si>
  <si>
    <t>master_fasilitas_storage</t>
  </si>
  <si>
    <t>Spesifikasi fisik stockpile (134.4T &amp; 120.96T), tangki aditif, rotary dryer, dan Bin Silo 72 m³.</t>
  </si>
  <si>
    <t>log_logistik_inbound</t>
  </si>
  <si>
    <t>Transactional Fact</t>
  </si>
  <si>
    <t>Pencatatan ritase truk tronton bahan mentah masuk (@ 30T), jembatan timbang, dan alokasi bay stockpile.</t>
  </si>
  <si>
    <t>log_logistik_outbound</t>
  </si>
  <si>
    <t>Pencatatan pengiriman truk produk jadi dari Bin Silo (ritme 2 jam), surat jalan, dan buffer level.</t>
  </si>
  <si>
    <t>telemetri_produksi_scada</t>
  </si>
  <si>
    <t>Time-Series Telemetry</t>
  </si>
  <si>
    <t>Data sensor SCADA per jam: Tonase output (target 20 T/h), suhu rotary dryer (°C), MMBTU gas, dan kWh PLN.</t>
  </si>
  <si>
    <t>biaya_siklus_hpp</t>
  </si>
  <si>
    <t>Financial Analytics</t>
  </si>
  <si>
    <t>Kalkulasi biaya per shift: Bahan baku, komparasi energi PGN vs CNG, listrik, solar forklift, SDM &amp; HPP/Ton.</t>
  </si>
  <si>
    <t>insiden_downtime_bottleneck</t>
  </si>
  <si>
    <t>Incident &amp; Loss Fact</t>
  </si>
  <si>
    <t>Pencatatan kejadian bottleneck (Truk Macet, Mesin Rusak, Lampu Mati), biaya SDM menganggur, penalti burner &amp; lost margin.</t>
  </si>
  <si>
    <t>rekap_kinerja_eksekutif</t>
  </si>
  <si>
    <t>Executive KPI Summary</t>
  </si>
  <si>
    <t>KPI harian Direksi: Output kumulatif, capaian target shift (140T), efisiensi PGN bulanan, kerugian harian, dan progres BEP Capex Rp 5.15 M.</t>
  </si>
  <si>
    <t>PARAMETER BENCHMARK TEKNIS &amp; FINANSIAL PABRIK (EXCEL AUDIT):</t>
  </si>
  <si>
    <t>Kapasitas Desain Pabrik</t>
  </si>
  <si>
    <t>20.00 Ton / Jam (140.00 Ton per shift 7 jam)</t>
  </si>
  <si>
    <t>Target Bulanan</t>
  </si>
  <si>
    <t>3,500.00 Ton (25 Hari Kerja) s.d. 4,200.00 Ton (30 Hari Kerja)</t>
  </si>
  <si>
    <t>Komposisi Formulasi</t>
  </si>
  <si>
    <t>80% Bentonite (BJ 0.8) | 15% Calsium Carbonate (BJ 2.8) | 5% Soda Ash (BJ 1.13)</t>
  </si>
  <si>
    <t>Daya Tampung Stockpile 1 (Bentonite)</t>
  </si>
  <si>
    <t>134.40 Ton (Habis dalam 8.40 Jam Operasi Penuh jika pasokan terputus)</t>
  </si>
  <si>
    <t>Daya Tampung Stockpile 2 (Calsium)</t>
  </si>
  <si>
    <t>120.96 Ton (Habis dalam 40.32 Jam Operasi Penuh)</t>
  </si>
  <si>
    <t>Kapasitas Bin Silo Produk Akhir</t>
  </si>
  <si>
    <t>72.00 m³ (65.58 s.d. 86.40 Ton) -&gt; Buffer holding time: 3.28 s.d. 4.32 Jam</t>
  </si>
  <si>
    <t>Ritme Pengiriman Produk Jadi</t>
  </si>
  <si>
    <t>Wajib loading truk (@ 30 Ton) setiap 2 jam sekali agar Silo tidak meluap</t>
  </si>
  <si>
    <t>Disparitas Energi PGN vs CNG</t>
  </si>
  <si>
    <t>PGN $13.00/MMBTU (Rp 79,930/t) vs CNG $15.15/MMBTU (Rp 95,301/t) -&gt; Hemat Rp 53.8 Juta/Bulan</t>
  </si>
  <si>
    <t>Biaya Investasi Awal (Capex)</t>
  </si>
  <si>
    <t>Rp 5,150,000,000 (Target Balik Modal BEP: 4.7 s.d. 12.3 Bulan)</t>
  </si>
  <si>
    <t>Beban SDM Shift Menganggur</t>
  </si>
  <si>
    <t>Rp 382,143 per jam downtime (Alokasi 10 personil operasional = Rp 66,875,000/bulan)</t>
  </si>
  <si>
    <t>TABEL: MASTER_BAHAN_BAKU</t>
  </si>
  <si>
    <t>id_bahan</t>
  </si>
  <si>
    <t>nama_bahan</t>
  </si>
  <si>
    <t>kategori</t>
  </si>
  <si>
    <t>bulk_density_t_m3</t>
  </si>
  <si>
    <t>persentase_formula_pct</t>
  </si>
  <si>
    <t>harga_satuan_rp_kg</t>
  </si>
  <si>
    <t>satuan_standar</t>
  </si>
  <si>
    <t>safety_stock_ton</t>
  </si>
  <si>
    <t>lead_time_hari</t>
  </si>
  <si>
    <t>supplier_utama</t>
  </si>
  <si>
    <t>RM-BEN-01</t>
  </si>
  <si>
    <t>Bentonite Clay Curah</t>
  </si>
  <si>
    <t>Bahan Baku Utama</t>
  </si>
  <si>
    <t>Kg</t>
  </si>
  <si>
    <t>PT. Indo Mineral Resources</t>
  </si>
  <si>
    <t>RM-CAL-02</t>
  </si>
  <si>
    <t>Calsium Carbonate (CaCO3)</t>
  </si>
  <si>
    <t>PT. Padalarang Kalsium Nusantara</t>
  </si>
  <si>
    <t>RM-SDA-03</t>
  </si>
  <si>
    <t>Soda Ash Dense (Na2CO3)</t>
  </si>
  <si>
    <t>Aditif Aktivasi</t>
  </si>
  <si>
    <t>PT. Solvay Alkali Indonesia</t>
  </si>
  <si>
    <t>RM-SDAL-04</t>
  </si>
  <si>
    <t>Soda Ash Light</t>
  </si>
  <si>
    <t>Aditif Alternatif</t>
  </si>
  <si>
    <t>PT. Kimia Aditif Pratama</t>
  </si>
  <si>
    <t>RM-QCK-05</t>
  </si>
  <si>
    <t>Quicklime (CaO Active)</t>
  </si>
  <si>
    <t>Aditif Stabilizer</t>
  </si>
  <si>
    <t>PT. Gamping Mas Sejahtera</t>
  </si>
  <si>
    <t>RM-KAO-06</t>
  </si>
  <si>
    <t>Kaolin Powder</t>
  </si>
  <si>
    <t>Binder Sekunder</t>
  </si>
  <si>
    <t>PT. Kaolin Bumi Sriwijaya</t>
  </si>
  <si>
    <t>PK-JMB-07</t>
  </si>
  <si>
    <t>Jumbo Bag 1 Ton Polypropylene</t>
  </si>
  <si>
    <t>Kemasan</t>
  </si>
  <si>
    <t>Pcs</t>
  </si>
  <si>
    <t>PT. Polychem Kemas Lestari</t>
  </si>
  <si>
    <t>PK-PLT-08</t>
  </si>
  <si>
    <t>Palet Kayu ISPM 15 Standar</t>
  </si>
  <si>
    <t>Penyangga</t>
  </si>
  <si>
    <t>PT. Palet Kreasi Mandiri</t>
  </si>
  <si>
    <t>EN-PGN-09</t>
  </si>
  <si>
    <t>Gas Alam Pipa (PGN $13/MMBTU)</t>
  </si>
  <si>
    <t>Energi Burner</t>
  </si>
  <si>
    <t>MMBTU</t>
  </si>
  <si>
    <t>PT. Perusahaan Gas Negara</t>
  </si>
  <si>
    <t>EN-CNG-10</t>
  </si>
  <si>
    <t>Compressed Natural Gas ($15.15)</t>
  </si>
  <si>
    <t>Energi Cadangan</t>
  </si>
  <si>
    <t>PT. CNG Hilir Utama</t>
  </si>
  <si>
    <t>TABEL: MASTER_FASILITAS_STORAGE</t>
  </si>
  <si>
    <t>id_fasilitas</t>
  </si>
  <si>
    <t>nama_fasilitas</t>
  </si>
  <si>
    <t>tipe_aset</t>
  </si>
  <si>
    <t>dimensi_pxlxt_m</t>
  </si>
  <si>
    <t>volume_m3</t>
  </si>
  <si>
    <t>kapasitas_maks_ton</t>
  </si>
  <si>
    <t>buffer_time_jam</t>
  </si>
  <si>
    <t>lokasi_plant</t>
  </si>
  <si>
    <t>daya_listrik_kw</t>
  </si>
  <si>
    <t>status_operasional</t>
  </si>
  <si>
    <t>ST-SP-01</t>
  </si>
  <si>
    <t>Stockpile 1 (Bentonite Curah)</t>
  </si>
  <si>
    <t>Stockpile Yard</t>
  </si>
  <si>
    <t>18 x 6 x 3</t>
  </si>
  <si>
    <t>Yard Utara (Bay 1)</t>
  </si>
  <si>
    <t>Aktif</t>
  </si>
  <si>
    <t>ST-SP-02</t>
  </si>
  <si>
    <t>Stockpile 2 (Calsium Curah)</t>
  </si>
  <si>
    <t>6 x 6 x 3</t>
  </si>
  <si>
    <t>Yard Utara (Bay 2)</t>
  </si>
  <si>
    <t>ST-TK-03</t>
  </si>
  <si>
    <t>Tangki Dosing Soda Ash</t>
  </si>
  <si>
    <t>Dosing Tank</t>
  </si>
  <si>
    <t>Dia 3 x 4</t>
  </si>
  <si>
    <t>Batching Plant Area</t>
  </si>
  <si>
    <t>EQ-FL-01</t>
  </si>
  <si>
    <t>Forklift Diesel Komatsu 3 Ton</t>
  </si>
  <si>
    <t>Transport Unit</t>
  </si>
  <si>
    <t>3.5 x 1.2 x 2.1</t>
  </si>
  <si>
    <t>Yard ke Hopper</t>
  </si>
  <si>
    <t>EQ-HP-01</t>
  </si>
  <si>
    <t>Hopper &amp; Weight Feeder</t>
  </si>
  <si>
    <t>Continuous Feeder</t>
  </si>
  <si>
    <t>4 x 3 x 3.5</t>
  </si>
  <si>
    <t>Lantai Feeding</t>
  </si>
  <si>
    <t>EQ-RD-01</t>
  </si>
  <si>
    <t>Rotary Drum Dryer 20 T/h</t>
  </si>
  <si>
    <t>Reaktor Pengering</t>
  </si>
  <si>
    <t>18 x Dia 2.5</t>
  </si>
  <si>
    <t>Furnace Area</t>
  </si>
  <si>
    <t>EQ-BN-01</t>
  </si>
  <si>
    <t>Dual-Fuel Burner (PGN/CNG)</t>
  </si>
  <si>
    <t>Pemanas Burner</t>
  </si>
  <si>
    <t>2 x 1.5 x 1.5</t>
  </si>
  <si>
    <t>Ruang Pembakaran</t>
  </si>
  <si>
    <t>EQ-CV-01</t>
  </si>
  <si>
    <t>Conveyor Belt System (1-4)</t>
  </si>
  <si>
    <t>Belt Conveyor</t>
  </si>
  <si>
    <t>45 x 0.8 x 0.5</t>
  </si>
  <si>
    <t>Jalur Dryer-Silo</t>
  </si>
  <si>
    <t>ST-SL-01</t>
  </si>
  <si>
    <t>Bin Silo Produk Akhir</t>
  </si>
  <si>
    <t>Storage Silo</t>
  </si>
  <si>
    <t>Dia 4 x 6</t>
  </si>
  <si>
    <t>Outbound Loading Bay</t>
  </si>
  <si>
    <t>EQ-WB-01</t>
  </si>
  <si>
    <t>Jembatan Timbang Truk 60 Ton</t>
  </si>
  <si>
    <t>Timbangan</t>
  </si>
  <si>
    <t>16 x 3.2 x 0.5</t>
  </si>
  <si>
    <t>Pintu Gerbang Utama</t>
  </si>
  <si>
    <t>TABEL: LOG_LOGISTIK_INBOUND</t>
  </si>
  <si>
    <t>id_inbound</t>
  </si>
  <si>
    <t>no_surat_jalan</t>
  </si>
  <si>
    <t>no_polisi_truk</t>
  </si>
  <si>
    <t>nama_transporter</t>
  </si>
  <si>
    <t>waktu_timbang_masuk</t>
  </si>
  <si>
    <t>waktu_selesai_bongkar</t>
  </si>
  <si>
    <t>berat_bruto_kg</t>
  </si>
  <si>
    <t>berat_tara_kg</t>
  </si>
  <si>
    <t>berat_netto_ton</t>
  </si>
  <si>
    <t>id_fasilitas_tujuan</t>
  </si>
  <si>
    <t>status_qc</t>
  </si>
  <si>
    <t>INB-261001-01</t>
  </si>
  <si>
    <t>SJ-IMR-88901</t>
  </si>
  <si>
    <t>B 9421 UYT</t>
  </si>
  <si>
    <t>PT. Lintas Logistik Prima</t>
  </si>
  <si>
    <t>2026-10-01 06:15:00</t>
  </si>
  <si>
    <t>2026-10-01 07:05:00</t>
  </si>
  <si>
    <t>PASSED</t>
  </si>
  <si>
    <t>INB-261001-02</t>
  </si>
  <si>
    <t>SJ-IMR-88902</t>
  </si>
  <si>
    <t>B 9112 PKO</t>
  </si>
  <si>
    <t>2026-10-01 07:45:00</t>
  </si>
  <si>
    <t>2026-10-01 08:30:00</t>
  </si>
  <si>
    <t>INB-261001-03</t>
  </si>
  <si>
    <t>SJ-PKN-45120</t>
  </si>
  <si>
    <t>D 9833 KLA</t>
  </si>
  <si>
    <t>CV. Sumber Kalsium Abadi</t>
  </si>
  <si>
    <t>2026-10-01 09:20:00</t>
  </si>
  <si>
    <t>INB-261001-04</t>
  </si>
  <si>
    <t>SJ-IMR-88903</t>
  </si>
  <si>
    <t>B 9554 TYA</t>
  </si>
  <si>
    <t>2026-10-01 09:40:00</t>
  </si>
  <si>
    <t>2026-10-01 10:25:00</t>
  </si>
  <si>
    <t>INB-261001-05</t>
  </si>
  <si>
    <t>SJ-SOL-11029</t>
  </si>
  <si>
    <t>L 8120 UVY</t>
  </si>
  <si>
    <t>PT. Samudera Kimia Trans</t>
  </si>
  <si>
    <t>2026-10-01 10:15:00</t>
  </si>
  <si>
    <t>2026-10-01 11:00:00</t>
  </si>
  <si>
    <t>INB-261001-06</t>
  </si>
  <si>
    <t>SJ-IMR-88904</t>
  </si>
  <si>
    <t>B 9230 ZXT</t>
  </si>
  <si>
    <t>2026-10-01 11:30:00</t>
  </si>
  <si>
    <t>2026-10-01 12:20:00</t>
  </si>
  <si>
    <t>INB-261001-07</t>
  </si>
  <si>
    <t>SJ-IMR-88905</t>
  </si>
  <si>
    <t>B 9771 MNQ</t>
  </si>
  <si>
    <t>2026-10-01 13:15:00</t>
  </si>
  <si>
    <t>2026-10-01 14:05:00</t>
  </si>
  <si>
    <t>INB-261002-01</t>
  </si>
  <si>
    <t>SJ-IMR-88910</t>
  </si>
  <si>
    <t>2026-10-02 06:20:00</t>
  </si>
  <si>
    <t>2026-10-02 07:10:00</t>
  </si>
  <si>
    <t>INB-261002-02</t>
  </si>
  <si>
    <t>SJ-IMR-88911</t>
  </si>
  <si>
    <t>2026-10-02 07:50:00</t>
  </si>
  <si>
    <t>2026-10-02 08:35:00</t>
  </si>
  <si>
    <t>INB-261002-03</t>
  </si>
  <si>
    <t>SJ-IMR-88912</t>
  </si>
  <si>
    <t>2026-10-02 09:30:00</t>
  </si>
  <si>
    <t>2026-10-02 10:15:00</t>
  </si>
  <si>
    <t>TABEL: LOG_LOGISTIK_OUTBOUND</t>
  </si>
  <si>
    <t>id_outbound</t>
  </si>
  <si>
    <t>no_surat_jalan_out</t>
  </si>
  <si>
    <t>nama_customer</t>
  </si>
  <si>
    <t>id_fasilitas_asal</t>
  </si>
  <si>
    <t>waktu_mulai_loading</t>
  </si>
  <si>
    <t>waktu_selesai_dispatch</t>
  </si>
  <si>
    <t>level_silo_sebelum_ton</t>
  </si>
  <si>
    <t>tonase_keluar_ton</t>
  </si>
  <si>
    <t>level_silo_sesudah_ton</t>
  </si>
  <si>
    <t>tipe_pengiriman</t>
  </si>
  <si>
    <t>status_pengiriman</t>
  </si>
  <si>
    <t>OUT-261001-01</t>
  </si>
  <si>
    <t>SJ-OUT-1001</t>
  </si>
  <si>
    <t>PT. Semen Nusantara Utama</t>
  </si>
  <si>
    <t>L 9921 AB</t>
  </si>
  <si>
    <t>2026-10-01 09:05:00</t>
  </si>
  <si>
    <t>Bulk Silo Truck</t>
  </si>
  <si>
    <t>DISPATCHED</t>
  </si>
  <si>
    <t>OUT-261001-02</t>
  </si>
  <si>
    <t>SJ-OUT-1002</t>
  </si>
  <si>
    <t>PT. Pengecoran Logam Perkasa</t>
  </si>
  <si>
    <t>B 9340 TYU</t>
  </si>
  <si>
    <t>2026-10-01 10:30:00</t>
  </si>
  <si>
    <t>OUT-261001-03</t>
  </si>
  <si>
    <t>SJ-OUT-1003</t>
  </si>
  <si>
    <t>PT. Geoteknik Fondasi Mandiri</t>
  </si>
  <si>
    <t>W 8820 PO</t>
  </si>
  <si>
    <t>2026-10-01 12:30:00</t>
  </si>
  <si>
    <t>2026-10-01 13:05:00</t>
  </si>
  <si>
    <t>OUT-261001-04</t>
  </si>
  <si>
    <t>SJ-OUT-1004</t>
  </si>
  <si>
    <t>N 9122 JK</t>
  </si>
  <si>
    <t>2026-10-01 14:30:00</t>
  </si>
  <si>
    <t>2026-10-01 15:00:00</t>
  </si>
  <si>
    <t>OUT-261001-05</t>
  </si>
  <si>
    <t>SJ-OUT-1005</t>
  </si>
  <si>
    <t>2026-10-01 16:00:00</t>
  </si>
  <si>
    <t>2026-10-01 16:30:00</t>
  </si>
  <si>
    <t>OUT-261002-01</t>
  </si>
  <si>
    <t>SJ-OUT-1006</t>
  </si>
  <si>
    <t>2026-10-02 08:30:00</t>
  </si>
  <si>
    <t>2026-10-02 09:00:00</t>
  </si>
  <si>
    <t>OUT-261002-02</t>
  </si>
  <si>
    <t>SJ-OUT-1007</t>
  </si>
  <si>
    <t>2026-10-02 10:30:00</t>
  </si>
  <si>
    <t>2026-10-02 11:05:00</t>
  </si>
  <si>
    <t>OUT-261002-03</t>
  </si>
  <si>
    <t>SJ-OUT-1008</t>
  </si>
  <si>
    <t>2026-10-02 12:30:00</t>
  </si>
  <si>
    <t>2026-10-02 13:00:00</t>
  </si>
  <si>
    <t>OUT-261002-04</t>
  </si>
  <si>
    <t>SJ-OUT-1009</t>
  </si>
  <si>
    <t>PT. Agro Kimia Perkasa</t>
  </si>
  <si>
    <t>AG 8221 UI</t>
  </si>
  <si>
    <t>2026-10-02 14:30:00</t>
  </si>
  <si>
    <t>2026-10-02 15:10:00</t>
  </si>
  <si>
    <t>Jumbo Bag 1T</t>
  </si>
  <si>
    <t>OUT-261002-05</t>
  </si>
  <si>
    <t>SJ-OUT-1010</t>
  </si>
  <si>
    <t>2026-10-02 16:15:00</t>
  </si>
  <si>
    <t>2026-10-02 16:45:00</t>
  </si>
  <si>
    <t>TABEL: TELEMETRI_PRODUKSI_SCADA</t>
  </si>
  <si>
    <t>id_telemetri</t>
  </si>
  <si>
    <t>timestamp_record</t>
  </si>
  <si>
    <t>shift_kerja</t>
  </si>
  <si>
    <t>target_kapasitas_ton_jam</t>
  </si>
  <si>
    <t>aktual_output_ton_jam</t>
  </si>
  <si>
    <t>temp_rotary_dryer_c</t>
  </si>
  <si>
    <t>burner_flame_intensity_pct</t>
  </si>
  <si>
    <t>konsumsi_gas_mmbtu_jam</t>
  </si>
  <si>
    <t>konsumsi_listrik_kwh</t>
  </si>
  <si>
    <t>conveyor_speed_m_s</t>
  </si>
  <si>
    <t>vibrating_screen_status</t>
  </si>
  <si>
    <t>kondisi_scada</t>
  </si>
  <si>
    <t>SC-261001-07</t>
  </si>
  <si>
    <t>2026-10-01 07:00:00</t>
  </si>
  <si>
    <t>Shift 1</t>
  </si>
  <si>
    <t>NORMAL</t>
  </si>
  <si>
    <t>RUNNING</t>
  </si>
  <si>
    <t>SC-261001-08</t>
  </si>
  <si>
    <t>2026-10-01 08:00:00</t>
  </si>
  <si>
    <t>SC-261001-09</t>
  </si>
  <si>
    <t>2026-10-01 09:00:00</t>
  </si>
  <si>
    <t>SC-261001-10</t>
  </si>
  <si>
    <t>2026-10-01 10:00:00</t>
  </si>
  <si>
    <t>SC-261001-11</t>
  </si>
  <si>
    <t>SC-261001-12</t>
  </si>
  <si>
    <t>2026-10-01 12:00:00</t>
  </si>
  <si>
    <t>SC-261001-13</t>
  </si>
  <si>
    <t>2026-10-01 13:00:00</t>
  </si>
  <si>
    <t>SC-261002-07</t>
  </si>
  <si>
    <t>2026-10-02 07:00:00</t>
  </si>
  <si>
    <t>SC-261002-08</t>
  </si>
  <si>
    <t>2026-10-02 08:00:00</t>
  </si>
  <si>
    <t>SC-261002-09</t>
  </si>
  <si>
    <t>WARNING</t>
  </si>
  <si>
    <t>BOTTLENECK</t>
  </si>
  <si>
    <t>TABEL: BIAYA_SIKLUS_HPP</t>
  </si>
  <si>
    <t>id_biaya_siklus</t>
  </si>
  <si>
    <t>tanggal_siklus</t>
  </si>
  <si>
    <t>output_tonase_ton</t>
  </si>
  <si>
    <t>jenis_energi_aktif</t>
  </si>
  <si>
    <t>biaya_raw_material_rp</t>
  </si>
  <si>
    <t>biaya_bahan_bakar_rp</t>
  </si>
  <si>
    <t>biaya_listrik_pln_rp</t>
  </si>
  <si>
    <t>biaya_forklift_solar_rp</t>
  </si>
  <si>
    <t>alokasi_sdm_rp</t>
  </si>
  <si>
    <t>total_hpp_per_ton_rp</t>
  </si>
  <si>
    <t>harga_jual_per_ton_rp</t>
  </si>
  <si>
    <t>gross_margin_per_ton_rp</t>
  </si>
  <si>
    <t>CST-261001-01</t>
  </si>
  <si>
    <t>2026-10-01</t>
  </si>
  <si>
    <t>PGN</t>
  </si>
  <si>
    <t>CST-261002-01</t>
  </si>
  <si>
    <t>2026-10-02</t>
  </si>
  <si>
    <t>CST-261003-01</t>
  </si>
  <si>
    <t>2026-10-03</t>
  </si>
  <si>
    <t>CST-261004-01</t>
  </si>
  <si>
    <t>2026-10-04</t>
  </si>
  <si>
    <t>CNG</t>
  </si>
  <si>
    <t>CST-261005-01</t>
  </si>
  <si>
    <t>2026-10-05</t>
  </si>
  <si>
    <t>CST-261006-01</t>
  </si>
  <si>
    <t>2026-10-06</t>
  </si>
  <si>
    <t>CST-261007-01</t>
  </si>
  <si>
    <t>2026-10-07</t>
  </si>
  <si>
    <t>CST-261008-01</t>
  </si>
  <si>
    <t>2026-10-08</t>
  </si>
  <si>
    <t>CST-261009-01</t>
  </si>
  <si>
    <t>2026-10-09</t>
  </si>
  <si>
    <t>CST-261010-01</t>
  </si>
  <si>
    <t>2026-10-10</t>
  </si>
  <si>
    <t>TABEL: INSIDEN_DOWNTIME_BOTTLENECK</t>
  </si>
  <si>
    <t>id_insiden</t>
  </si>
  <si>
    <t>kategori_bottleneck</t>
  </si>
  <si>
    <t>deskripsi_kejadian</t>
  </si>
  <si>
    <t>waktu_mulai</t>
  </si>
  <si>
    <t>waktu_selesai</t>
  </si>
  <si>
    <t>durasi_jam</t>
  </si>
  <si>
    <t>output_hilang_ton</t>
  </si>
  <si>
    <t>biaya_sdm_menganggur_rp</t>
  </si>
  <si>
    <t>kehilangan_laba_margin_rp</t>
  </si>
  <si>
    <t>total_kerugian_rp</t>
  </si>
  <si>
    <t>tindakan_perbaikan</t>
  </si>
  <si>
    <t>DWT-261002-01</t>
  </si>
  <si>
    <t>Truk Macet</t>
  </si>
  <si>
    <t>Keterlambatan Truk Bentonite (Macet Tol Cikampek KM 52)</t>
  </si>
  <si>
    <t>2026-10-02 09:15:00</t>
  </si>
  <si>
    <t>2026-10-02 12:45:00</t>
  </si>
  <si>
    <t>Pengalihan rute armada &amp; koordinasi buffer stockpile</t>
  </si>
  <si>
    <t>DWT-261003-02</t>
  </si>
  <si>
    <t>Mesin Rusak</t>
  </si>
  <si>
    <t>Bearing Roll Rotary Dryer Overheat (Suhu 245°C)</t>
  </si>
  <si>
    <t>2026-10-03 13:00:00</t>
  </si>
  <si>
    <t>2026-10-03 15:00:00</t>
  </si>
  <si>
    <t>Penggantian bearing darurat &amp; re-greasing suhu tinggi</t>
  </si>
  <si>
    <t>DWT-261004-01</t>
  </si>
  <si>
    <t>Lampu Mati</t>
  </si>
  <si>
    <t>Pemadaman Gardu Induk PLN (Trip Trafo 125 kVA)</t>
  </si>
  <si>
    <t>2026-10-04 10:20:00</t>
  </si>
  <si>
    <t>2026-10-04 12:50:00</t>
  </si>
  <si>
    <t>Sinkronisasi genset darurat &amp; reset panel starter</t>
  </si>
  <si>
    <t>DWT-261005-01</t>
  </si>
  <si>
    <t>Belt Conveyor 2 Robek Terkena Benda Tajam</t>
  </si>
  <si>
    <t>2026-10-05 08:30:00</t>
  </si>
  <si>
    <t>2026-10-05 10:00:00</t>
  </si>
  <si>
    <t>Penyambungan belt mechanical joint fast-lock</t>
  </si>
  <si>
    <t>DWT-261006-01</t>
  </si>
  <si>
    <t>Antrean Timbang Pelabuhan Tanjung Perak Padat</t>
  </si>
  <si>
    <t>2026-10-06 14:00:00</t>
  </si>
  <si>
    <t>2026-10-06 15:30:00</t>
  </si>
  <si>
    <t>Dispatch armada cadangan dari depo penyangga</t>
  </si>
  <si>
    <t>DWT-261007-01</t>
  </si>
  <si>
    <t>Sensor Flame Detector Burner PGN Kotor/Error</t>
  </si>
  <si>
    <t>2026-10-07 11:15:00</t>
  </si>
  <si>
    <t>2026-10-07 12:00:00</t>
  </si>
  <si>
    <t>Pembersihan probe sensor UV &amp; kalibrasi ulang</t>
  </si>
  <si>
    <t>DWT-261008-01</t>
  </si>
  <si>
    <t>Fluktuasi Tegangan PLN Drop (Under-voltage Trip)</t>
  </si>
  <si>
    <t>2026-10-08 09:00:00</t>
  </si>
  <si>
    <t>2026-10-08 10:00:00</t>
  </si>
  <si>
    <t>Penyetelan relai proteksi voltage stabilizer</t>
  </si>
  <si>
    <t>DWT-261009-01</t>
  </si>
  <si>
    <t>Truk Pengangkut Silo Rusak di Gerbang Timbang</t>
  </si>
  <si>
    <t>2026-10-09 13:30:00</t>
  </si>
  <si>
    <t>2026-10-09 15:30:00</t>
  </si>
  <si>
    <t>Penarikan kendaraan derek &amp; buka jalur darurat</t>
  </si>
  <si>
    <t>DWT-261010-01</t>
  </si>
  <si>
    <t>Vibrating Screen Choked (Penyumbatan Gumpalan)</t>
  </si>
  <si>
    <t>2026-10-10 10:45:00</t>
  </si>
  <si>
    <t>2026-10-10 11:45:00</t>
  </si>
  <si>
    <t>Pembersihan wire mesh screen &amp; kontrol kadar air</t>
  </si>
  <si>
    <t>DWT-261011-01</t>
  </si>
  <si>
    <t>Kendala Administrasi DO Soda Ash di Gudang Transit</t>
  </si>
  <si>
    <t>2026-10-11 08:00:00</t>
  </si>
  <si>
    <t>2026-10-11 10:30:00</t>
  </si>
  <si>
    <t>Percepatan kliring digital &amp; pinjam buffer lokal</t>
  </si>
  <si>
    <t>TABEL: REKAP_KINERJA_EKSEKUTIF</t>
  </si>
  <si>
    <t>id_rekap_kpi</t>
  </si>
  <si>
    <t>tanggal</t>
  </si>
  <si>
    <t>jam_operasional_efektif</t>
  </si>
  <si>
    <t>total_output_produksi_ton</t>
  </si>
  <si>
    <t>target_harian_ton</t>
  </si>
  <si>
    <t>capaian_target_pct</t>
  </si>
  <si>
    <t>total_rit_inbound</t>
  </si>
  <si>
    <t>total_rit_outbound</t>
  </si>
  <si>
    <t>efisiensi_pgn_vs_cng_rp</t>
  </si>
  <si>
    <t>kerugian_downtime_hari_ini_rp</t>
  </si>
  <si>
    <t>laba_kotor_harian_rp</t>
  </si>
  <si>
    <t>kumulatif_laba_bersih_rp</t>
  </si>
  <si>
    <t>progres_bep_capex_pct</t>
  </si>
  <si>
    <t>KPI-261001</t>
  </si>
  <si>
    <t>KPI-261002</t>
  </si>
  <si>
    <t>KPI-261003</t>
  </si>
  <si>
    <t>KPI-261004</t>
  </si>
  <si>
    <t>KPI-261005</t>
  </si>
  <si>
    <t>KPI-261006</t>
  </si>
  <si>
    <t>KPI-261007</t>
  </si>
  <si>
    <t>KPI-261008</t>
  </si>
  <si>
    <t>KPI-261009</t>
  </si>
  <si>
    <t>KPI-261010</t>
  </si>
  <si>
    <t>bahan_bakar_terbuang_rp</t>
  </si>
  <si>
    <t>biaya_maintenance_per_ton_rp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</si>
</sst>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&quot;%&quot;"/>
    <numFmt numFmtId="165" formatCode="&quot;Rp &quot;#,##0"/>
    <numFmt numFmtId="166" formatCode="yyyy\-mm\-dd\ hh:mm:ss"/>
    <numFmt numFmtId="167" formatCode="#,##0.0"/>
    <numFmt numFmtId="168" formatCode="yyyy\-mm\-dd"/>
  </numFmts>
  <fonts count="9" x14ac:knownFonts="1">
    <font>
      <sz val="11"/>
      <color theme="1"/>
      <name val="Calibri"/>
      <family val="2"/>
      <scheme val="minor"/>
    </font>
    <font>
      <b/>
      <sz val="14"/>
      <color rgb="FF0F172A"/>
      <name val="Calibri"/>
    </font>
    <font>
      <i/>
      <sz val="10"/>
      <color rgb="FF475569"/>
      <name val="Calibri"/>
    </font>
    <font>
      <b/>
      <sz val="11"/>
      <color rgb="FFFFFFFF"/>
      <name val="Calibri"/>
    </font>
    <font>
      <b/>
      <sz val="11"/>
      <color rgb="FF1E3A8A"/>
      <name val="Calibri"/>
    </font>
    <font>
      <b/>
      <sz val="11"/>
      <color rgb="FF0F172A"/>
      <name val="Calibri"/>
    </font>
    <font>
      <b/>
      <sz val="10"/>
      <color rgb="FF334155"/>
      <name val="Calibri"/>
    </font>
    <font>
      <sz val="10"/>
      <color rgb="FF0F172A"/>
      <name val="Calibri"/>
    </font>
    <font>
      <b/>
      <sz val="12"/>
      <color rgb="FF0F172A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E293B"/>
        <bgColor rgb="FF1E293B"/>
      </patternFill>
    </fill>
    <fill>
      <patternFill patternType="solid">
        <fgColor rgb="FFF8FAFC"/>
        <bgColor rgb="FFF8FAFC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0" fontId="5" fillId="0" borderId="0" xfId="0" applyFont="1"/>
    <xf numFmtId="0" fontId="6" fillId="0" borderId="1" xfId="0" applyFont="1" applyBorder="1"/>
    <xf numFmtId="0" fontId="7" fillId="0" borderId="1" xfId="0" applyFont="1" applyBorder="1"/>
    <xf numFmtId="0" fontId="8" fillId="0" borderId="0" xfId="0" applyFont="1"/>
    <xf numFmtId="0" fontId="7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left" vertical="center"/>
    </xf>
    <xf numFmtId="4" fontId="7" fillId="3" borderId="1" xfId="0" applyNumberFormat="1" applyFont="1" applyFill="1" applyBorder="1" applyAlignment="1">
      <alignment horizontal="right" vertical="center"/>
    </xf>
    <xf numFmtId="164" fontId="7" fillId="3" borderId="1" xfId="0" applyNumberFormat="1" applyFont="1" applyFill="1" applyBorder="1" applyAlignment="1">
      <alignment horizontal="right" vertical="center"/>
    </xf>
    <xf numFmtId="165" fontId="7" fillId="3" borderId="1" xfId="0" applyNumberFormat="1" applyFont="1" applyFill="1" applyBorder="1" applyAlignment="1">
      <alignment horizontal="right" vertical="center"/>
    </xf>
    <xf numFmtId="3" fontId="7" fillId="3" borderId="1" xfId="0" applyNumberFormat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left" vertical="center"/>
    </xf>
    <xf numFmtId="4" fontId="7" fillId="4" borderId="1" xfId="0" applyNumberFormat="1" applyFont="1" applyFill="1" applyBorder="1" applyAlignment="1">
      <alignment horizontal="right" vertical="center"/>
    </xf>
    <xf numFmtId="164" fontId="7" fillId="4" borderId="1" xfId="0" applyNumberFormat="1" applyFont="1" applyFill="1" applyBorder="1" applyAlignment="1">
      <alignment horizontal="right" vertical="center"/>
    </xf>
    <xf numFmtId="165" fontId="7" fillId="4" borderId="1" xfId="0" applyNumberFormat="1" applyFont="1" applyFill="1" applyBorder="1" applyAlignment="1">
      <alignment horizontal="right" vertical="center"/>
    </xf>
    <xf numFmtId="3" fontId="7" fillId="4" borderId="1" xfId="0" applyNumberFormat="1" applyFont="1" applyFill="1" applyBorder="1" applyAlignment="1">
      <alignment horizontal="center" vertical="center"/>
    </xf>
    <xf numFmtId="166" fontId="7" fillId="3" borderId="1" xfId="0" applyNumberFormat="1" applyFont="1" applyFill="1" applyBorder="1" applyAlignment="1">
      <alignment horizontal="center" vertical="center"/>
    </xf>
    <xf numFmtId="166" fontId="7" fillId="4" borderId="1" xfId="0" applyNumberFormat="1" applyFont="1" applyFill="1" applyBorder="1" applyAlignment="1">
      <alignment horizontal="center" vertical="center"/>
    </xf>
    <xf numFmtId="167" fontId="7" fillId="3" borderId="1" xfId="0" applyNumberFormat="1" applyFont="1" applyFill="1" applyBorder="1" applyAlignment="1">
      <alignment horizontal="right" vertical="center"/>
    </xf>
    <xf numFmtId="167" fontId="7" fillId="4" borderId="1" xfId="0" applyNumberFormat="1" applyFont="1" applyFill="1" applyBorder="1" applyAlignment="1">
      <alignment horizontal="right" vertical="center"/>
    </xf>
    <xf numFmtId="168" fontId="7" fillId="3" borderId="1" xfId="0" applyNumberFormat="1" applyFont="1" applyFill="1" applyBorder="1" applyAlignment="1">
      <alignment horizontal="center" vertical="center"/>
    </xf>
    <xf numFmtId="168" fontId="7" fillId="4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26"/>
  <sheetViews>
    <sheetView workbookViewId="0">
      <selection activeCell="C29" sqref="C29"/>
    </sheetView>
  </sheetViews>
  <sheetFormatPr defaultRowHeight="14.4" x14ac:dyDescent="0.3"/>
  <cols>
    <col min="1" max="1" width="10" customWidth="1"/>
    <col min="2" max="2" width="62" bestFit="1" customWidth="1"/>
    <col min="3" max="3" width="28" customWidth="1"/>
    <col min="4" max="4" width="22" customWidth="1"/>
    <col min="5" max="6" width="14" customWidth="1"/>
    <col min="7" max="7" width="90" customWidth="1"/>
  </cols>
  <sheetData>
    <row r="2" spans="2:7" ht="18" x14ac:dyDescent="0.35">
      <c r="B2" s="1" t="s">
        <v>0</v>
      </c>
    </row>
    <row r="3" spans="2:7" x14ac:dyDescent="0.3">
      <c r="B3" s="2" t="s">
        <v>1</v>
      </c>
    </row>
    <row r="5" spans="2:7" ht="28.05" customHeight="1" x14ac:dyDescent="0.3"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</row>
    <row r="6" spans="2:7" ht="22.05" customHeight="1" x14ac:dyDescent="0.3">
      <c r="B6" s="4">
        <v>1</v>
      </c>
      <c r="C6" s="5" t="s">
        <v>8</v>
      </c>
      <c r="D6" s="6" t="s">
        <v>9</v>
      </c>
      <c r="E6" s="4">
        <v>10</v>
      </c>
      <c r="F6" s="4">
        <v>10</v>
      </c>
      <c r="G6" s="6" t="s">
        <v>10</v>
      </c>
    </row>
    <row r="7" spans="2:7" ht="22.05" customHeight="1" x14ac:dyDescent="0.3">
      <c r="B7" s="7">
        <v>2</v>
      </c>
      <c r="C7" s="8" t="s">
        <v>11</v>
      </c>
      <c r="D7" s="9" t="s">
        <v>9</v>
      </c>
      <c r="E7" s="7">
        <v>10</v>
      </c>
      <c r="F7" s="7">
        <v>10</v>
      </c>
      <c r="G7" s="9" t="s">
        <v>12</v>
      </c>
    </row>
    <row r="8" spans="2:7" ht="22.05" customHeight="1" x14ac:dyDescent="0.3">
      <c r="B8" s="4">
        <v>3</v>
      </c>
      <c r="C8" s="5" t="s">
        <v>13</v>
      </c>
      <c r="D8" s="6" t="s">
        <v>14</v>
      </c>
      <c r="E8" s="4">
        <v>12</v>
      </c>
      <c r="F8" s="4">
        <v>10</v>
      </c>
      <c r="G8" s="6" t="s">
        <v>15</v>
      </c>
    </row>
    <row r="9" spans="2:7" ht="22.05" customHeight="1" x14ac:dyDescent="0.3">
      <c r="B9" s="7">
        <v>4</v>
      </c>
      <c r="C9" s="8" t="s">
        <v>16</v>
      </c>
      <c r="D9" s="9" t="s">
        <v>14</v>
      </c>
      <c r="E9" s="7">
        <v>12</v>
      </c>
      <c r="F9" s="7">
        <v>10</v>
      </c>
      <c r="G9" s="9" t="s">
        <v>17</v>
      </c>
    </row>
    <row r="10" spans="2:7" ht="22.05" customHeight="1" x14ac:dyDescent="0.3">
      <c r="B10" s="4">
        <v>5</v>
      </c>
      <c r="C10" s="5" t="s">
        <v>18</v>
      </c>
      <c r="D10" s="6" t="s">
        <v>19</v>
      </c>
      <c r="E10" s="4">
        <v>12</v>
      </c>
      <c r="F10" s="4">
        <v>10</v>
      </c>
      <c r="G10" s="6" t="s">
        <v>20</v>
      </c>
    </row>
    <row r="11" spans="2:7" ht="22.05" customHeight="1" x14ac:dyDescent="0.3">
      <c r="B11" s="7">
        <v>6</v>
      </c>
      <c r="C11" s="8" t="s">
        <v>21</v>
      </c>
      <c r="D11" s="9" t="s">
        <v>22</v>
      </c>
      <c r="E11" s="7">
        <v>14</v>
      </c>
      <c r="F11" s="7">
        <v>10</v>
      </c>
      <c r="G11" s="9" t="s">
        <v>23</v>
      </c>
    </row>
    <row r="12" spans="2:7" ht="22.05" customHeight="1" x14ac:dyDescent="0.3">
      <c r="B12" s="4">
        <v>7</v>
      </c>
      <c r="C12" s="5" t="s">
        <v>24</v>
      </c>
      <c r="D12" s="6" t="s">
        <v>25</v>
      </c>
      <c r="E12" s="4">
        <v>12</v>
      </c>
      <c r="F12" s="4">
        <v>10</v>
      </c>
      <c r="G12" s="6" t="s">
        <v>26</v>
      </c>
    </row>
    <row r="13" spans="2:7" ht="22.05" customHeight="1" x14ac:dyDescent="0.3">
      <c r="B13" s="7">
        <v>8</v>
      </c>
      <c r="C13" s="8" t="s">
        <v>27</v>
      </c>
      <c r="D13" s="9" t="s">
        <v>28</v>
      </c>
      <c r="E13" s="7">
        <v>13</v>
      </c>
      <c r="F13" s="7">
        <v>10</v>
      </c>
      <c r="G13" s="9" t="s">
        <v>29</v>
      </c>
    </row>
    <row r="16" spans="2:7" x14ac:dyDescent="0.3">
      <c r="B16" s="10" t="s">
        <v>30</v>
      </c>
    </row>
    <row r="17" spans="2:3" x14ac:dyDescent="0.3">
      <c r="B17" s="11" t="s">
        <v>31</v>
      </c>
      <c r="C17" s="12" t="s">
        <v>32</v>
      </c>
    </row>
    <row r="18" spans="2:3" x14ac:dyDescent="0.3">
      <c r="B18" s="11" t="s">
        <v>33</v>
      </c>
      <c r="C18" s="12" t="s">
        <v>34</v>
      </c>
    </row>
    <row r="19" spans="2:3" x14ac:dyDescent="0.3">
      <c r="B19" s="11" t="s">
        <v>35</v>
      </c>
      <c r="C19" s="12" t="s">
        <v>36</v>
      </c>
    </row>
    <row r="20" spans="2:3" x14ac:dyDescent="0.3">
      <c r="B20" s="11" t="s">
        <v>37</v>
      </c>
      <c r="C20" s="12" t="s">
        <v>38</v>
      </c>
    </row>
    <row r="21" spans="2:3" x14ac:dyDescent="0.3">
      <c r="B21" s="11" t="s">
        <v>39</v>
      </c>
      <c r="C21" s="12" t="s">
        <v>40</v>
      </c>
    </row>
    <row r="22" spans="2:3" x14ac:dyDescent="0.3">
      <c r="B22" s="11" t="s">
        <v>41</v>
      </c>
      <c r="C22" s="12" t="s">
        <v>42</v>
      </c>
    </row>
    <row r="23" spans="2:3" x14ac:dyDescent="0.3">
      <c r="B23" s="11" t="s">
        <v>43</v>
      </c>
      <c r="C23" s="12" t="s">
        <v>44</v>
      </c>
    </row>
    <row r="24" spans="2:3" x14ac:dyDescent="0.3">
      <c r="B24" s="11" t="s">
        <v>45</v>
      </c>
      <c r="C24" s="12" t="s">
        <v>46</v>
      </c>
    </row>
    <row r="25" spans="2:3" x14ac:dyDescent="0.3">
      <c r="B25" s="11" t="s">
        <v>47</v>
      </c>
      <c r="C25" s="12" t="s">
        <v>48</v>
      </c>
    </row>
    <row r="26" spans="2:3" x14ac:dyDescent="0.3">
      <c r="B26" s="11" t="s">
        <v>49</v>
      </c>
      <c r="C26" s="12" t="s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2"/>
  <sheetViews>
    <sheetView tabSelected="1" workbookViewId="0">
      <pane ySplit="2" topLeftCell="A3" activePane="bottomLeft" state="frozen"/>
      <selection pane="bottomLeft" activeCell="E18" sqref="E18"/>
    </sheetView>
  </sheetViews>
  <sheetFormatPr defaultRowHeight="14.4" x14ac:dyDescent="0.3"/>
  <cols>
    <col min="1" max="1" width="15" customWidth="1"/>
    <col min="2" max="2" width="36" customWidth="1"/>
    <col min="3" max="4" width="22" customWidth="1"/>
    <col min="5" max="5" width="27" customWidth="1"/>
    <col min="6" max="6" width="23" customWidth="1"/>
    <col min="7" max="7" width="19" customWidth="1"/>
    <col min="8" max="8" width="21" customWidth="1"/>
    <col min="9" max="9" width="19" customWidth="1"/>
    <col min="10" max="10" width="37" customWidth="1"/>
  </cols>
  <sheetData>
    <row r="1" spans="1:10" ht="24" customHeight="1" x14ac:dyDescent="0.3">
      <c r="A1" s="13" t="s">
        <v>51</v>
      </c>
    </row>
    <row r="2" spans="1:10" ht="28.05" customHeight="1" x14ac:dyDescent="0.3">
      <c r="A2" s="3" t="s">
        <v>52</v>
      </c>
      <c r="B2" s="3" t="s">
        <v>53</v>
      </c>
      <c r="C2" s="3" t="s">
        <v>54</v>
      </c>
      <c r="D2" s="3" t="s">
        <v>55</v>
      </c>
      <c r="E2" s="3" t="s">
        <v>56</v>
      </c>
      <c r="F2" s="3" t="s">
        <v>57</v>
      </c>
      <c r="G2" s="3" t="s">
        <v>58</v>
      </c>
      <c r="H2" s="3" t="s">
        <v>59</v>
      </c>
      <c r="I2" s="3" t="s">
        <v>60</v>
      </c>
      <c r="J2" s="3" t="s">
        <v>61</v>
      </c>
    </row>
    <row r="3" spans="1:10" ht="19.95" customHeight="1" x14ac:dyDescent="0.3">
      <c r="A3" s="14" t="s">
        <v>62</v>
      </c>
      <c r="B3" s="15" t="s">
        <v>63</v>
      </c>
      <c r="C3" s="15" t="s">
        <v>64</v>
      </c>
      <c r="D3" s="16">
        <v>0.8</v>
      </c>
      <c r="E3" s="17">
        <v>80</v>
      </c>
      <c r="F3" s="18">
        <v>3650</v>
      </c>
      <c r="G3" s="14" t="s">
        <v>65</v>
      </c>
      <c r="H3" s="16">
        <v>50</v>
      </c>
      <c r="I3" s="19">
        <v>1</v>
      </c>
      <c r="J3" s="15" t="s">
        <v>66</v>
      </c>
    </row>
    <row r="4" spans="1:10" ht="19.95" customHeight="1" x14ac:dyDescent="0.3">
      <c r="A4" s="20" t="s">
        <v>67</v>
      </c>
      <c r="B4" s="21" t="s">
        <v>68</v>
      </c>
      <c r="C4" s="21" t="s">
        <v>64</v>
      </c>
      <c r="D4" s="22">
        <v>2.8</v>
      </c>
      <c r="E4" s="23">
        <v>15</v>
      </c>
      <c r="F4" s="24">
        <v>2750</v>
      </c>
      <c r="G4" s="20" t="s">
        <v>65</v>
      </c>
      <c r="H4" s="22">
        <v>30</v>
      </c>
      <c r="I4" s="25">
        <v>3</v>
      </c>
      <c r="J4" s="21" t="s">
        <v>69</v>
      </c>
    </row>
    <row r="5" spans="1:10" ht="19.95" customHeight="1" x14ac:dyDescent="0.3">
      <c r="A5" s="14" t="s">
        <v>70</v>
      </c>
      <c r="B5" s="15" t="s">
        <v>71</v>
      </c>
      <c r="C5" s="15" t="s">
        <v>72</v>
      </c>
      <c r="D5" s="16">
        <v>1.1299999999999999</v>
      </c>
      <c r="E5" s="17">
        <v>5</v>
      </c>
      <c r="F5" s="18">
        <v>5000</v>
      </c>
      <c r="G5" s="14" t="s">
        <v>65</v>
      </c>
      <c r="H5" s="16">
        <v>10</v>
      </c>
      <c r="I5" s="19">
        <v>7</v>
      </c>
      <c r="J5" s="15" t="s">
        <v>73</v>
      </c>
    </row>
    <row r="6" spans="1:10" ht="19.95" customHeight="1" x14ac:dyDescent="0.3">
      <c r="A6" s="20" t="s">
        <v>74</v>
      </c>
      <c r="B6" s="21" t="s">
        <v>75</v>
      </c>
      <c r="C6" s="21" t="s">
        <v>76</v>
      </c>
      <c r="D6" s="22">
        <v>0.65</v>
      </c>
      <c r="E6" s="23">
        <v>0</v>
      </c>
      <c r="F6" s="24">
        <v>5200</v>
      </c>
      <c r="G6" s="20" t="s">
        <v>65</v>
      </c>
      <c r="H6" s="22">
        <v>5</v>
      </c>
      <c r="I6" s="25">
        <v>7</v>
      </c>
      <c r="J6" s="21" t="s">
        <v>77</v>
      </c>
    </row>
    <row r="7" spans="1:10" ht="19.95" customHeight="1" x14ac:dyDescent="0.3">
      <c r="A7" s="14" t="s">
        <v>78</v>
      </c>
      <c r="B7" s="15" t="s">
        <v>79</v>
      </c>
      <c r="C7" s="15" t="s">
        <v>80</v>
      </c>
      <c r="D7" s="16">
        <v>1.05</v>
      </c>
      <c r="E7" s="17">
        <v>0</v>
      </c>
      <c r="F7" s="18">
        <v>3100</v>
      </c>
      <c r="G7" s="14" t="s">
        <v>65</v>
      </c>
      <c r="H7" s="16">
        <v>10</v>
      </c>
      <c r="I7" s="19">
        <v>4</v>
      </c>
      <c r="J7" s="15" t="s">
        <v>81</v>
      </c>
    </row>
    <row r="8" spans="1:10" ht="19.95" customHeight="1" x14ac:dyDescent="0.3">
      <c r="A8" s="20" t="s">
        <v>82</v>
      </c>
      <c r="B8" s="21" t="s">
        <v>83</v>
      </c>
      <c r="C8" s="21" t="s">
        <v>84</v>
      </c>
      <c r="D8" s="22">
        <v>1.2</v>
      </c>
      <c r="E8" s="23">
        <v>0</v>
      </c>
      <c r="F8" s="24">
        <v>2900</v>
      </c>
      <c r="G8" s="20" t="s">
        <v>65</v>
      </c>
      <c r="H8" s="22">
        <v>15</v>
      </c>
      <c r="I8" s="25">
        <v>5</v>
      </c>
      <c r="J8" s="21" t="s">
        <v>85</v>
      </c>
    </row>
    <row r="9" spans="1:10" ht="19.95" customHeight="1" x14ac:dyDescent="0.3">
      <c r="A9" s="14" t="s">
        <v>86</v>
      </c>
      <c r="B9" s="15" t="s">
        <v>87</v>
      </c>
      <c r="C9" s="15" t="s">
        <v>88</v>
      </c>
      <c r="D9" s="16">
        <v>0</v>
      </c>
      <c r="E9" s="17">
        <v>0</v>
      </c>
      <c r="F9" s="18">
        <v>85000</v>
      </c>
      <c r="G9" s="14" t="s">
        <v>89</v>
      </c>
      <c r="H9" s="16">
        <v>500</v>
      </c>
      <c r="I9" s="19">
        <v>10</v>
      </c>
      <c r="J9" s="15" t="s">
        <v>90</v>
      </c>
    </row>
    <row r="10" spans="1:10" ht="19.95" customHeight="1" x14ac:dyDescent="0.3">
      <c r="A10" s="20" t="s">
        <v>91</v>
      </c>
      <c r="B10" s="21" t="s">
        <v>92</v>
      </c>
      <c r="C10" s="21" t="s">
        <v>93</v>
      </c>
      <c r="D10" s="22">
        <v>0</v>
      </c>
      <c r="E10" s="23">
        <v>0</v>
      </c>
      <c r="F10" s="24">
        <v>125000</v>
      </c>
      <c r="G10" s="20" t="s">
        <v>89</v>
      </c>
      <c r="H10" s="22">
        <v>200</v>
      </c>
      <c r="I10" s="25">
        <v>14</v>
      </c>
      <c r="J10" s="21" t="s">
        <v>94</v>
      </c>
    </row>
    <row r="11" spans="1:10" ht="19.95" customHeight="1" x14ac:dyDescent="0.3">
      <c r="A11" s="14" t="s">
        <v>95</v>
      </c>
      <c r="B11" s="15" t="s">
        <v>96</v>
      </c>
      <c r="C11" s="15" t="s">
        <v>97</v>
      </c>
      <c r="D11" s="16">
        <v>0</v>
      </c>
      <c r="E11" s="17">
        <v>0</v>
      </c>
      <c r="F11" s="18">
        <v>234000</v>
      </c>
      <c r="G11" s="14" t="s">
        <v>98</v>
      </c>
      <c r="H11" s="16">
        <v>1500</v>
      </c>
      <c r="I11" s="19">
        <v>0</v>
      </c>
      <c r="J11" s="15" t="s">
        <v>99</v>
      </c>
    </row>
    <row r="12" spans="1:10" ht="19.95" customHeight="1" x14ac:dyDescent="0.3">
      <c r="A12" s="20" t="s">
        <v>100</v>
      </c>
      <c r="B12" s="21" t="s">
        <v>101</v>
      </c>
      <c r="C12" s="21" t="s">
        <v>102</v>
      </c>
      <c r="D12" s="22">
        <v>0</v>
      </c>
      <c r="E12" s="23">
        <v>0</v>
      </c>
      <c r="F12" s="24">
        <v>279000</v>
      </c>
      <c r="G12" s="20" t="s">
        <v>98</v>
      </c>
      <c r="H12" s="22">
        <v>1500</v>
      </c>
      <c r="I12" s="25">
        <v>1</v>
      </c>
      <c r="J12" s="21" t="s">
        <v>103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2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1" width="17" customWidth="1"/>
    <col min="2" max="2" width="34" customWidth="1"/>
    <col min="3" max="3" width="22" customWidth="1"/>
    <col min="4" max="4" width="20" customWidth="1"/>
    <col min="5" max="5" width="14" customWidth="1"/>
    <col min="6" max="6" width="23" customWidth="1"/>
    <col min="7" max="7" width="20" customWidth="1"/>
    <col min="8" max="8" width="25" customWidth="1"/>
    <col min="9" max="9" width="20" customWidth="1"/>
    <col min="10" max="10" width="23" customWidth="1"/>
  </cols>
  <sheetData>
    <row r="1" spans="1:10" ht="24" customHeight="1" x14ac:dyDescent="0.3">
      <c r="A1" s="13" t="s">
        <v>104</v>
      </c>
    </row>
    <row r="2" spans="1:10" ht="28.05" customHeight="1" x14ac:dyDescent="0.3">
      <c r="A2" s="3" t="s">
        <v>105</v>
      </c>
      <c r="B2" s="3" t="s">
        <v>106</v>
      </c>
      <c r="C2" s="3" t="s">
        <v>107</v>
      </c>
      <c r="D2" s="3" t="s">
        <v>108</v>
      </c>
      <c r="E2" s="3" t="s">
        <v>109</v>
      </c>
      <c r="F2" s="3" t="s">
        <v>110</v>
      </c>
      <c r="G2" s="3" t="s">
        <v>111</v>
      </c>
      <c r="H2" s="3" t="s">
        <v>112</v>
      </c>
      <c r="I2" s="3" t="s">
        <v>113</v>
      </c>
      <c r="J2" s="3" t="s">
        <v>114</v>
      </c>
    </row>
    <row r="3" spans="1:10" ht="19.95" customHeight="1" x14ac:dyDescent="0.3">
      <c r="A3" s="14" t="s">
        <v>115</v>
      </c>
      <c r="B3" s="15" t="s">
        <v>116</v>
      </c>
      <c r="C3" s="15" t="s">
        <v>117</v>
      </c>
      <c r="D3" s="14" t="s">
        <v>118</v>
      </c>
      <c r="E3" s="16">
        <v>324</v>
      </c>
      <c r="F3" s="16">
        <v>134.4</v>
      </c>
      <c r="G3" s="16">
        <v>8.4</v>
      </c>
      <c r="H3" s="15" t="s">
        <v>119</v>
      </c>
      <c r="I3" s="16">
        <v>0</v>
      </c>
      <c r="J3" s="14" t="s">
        <v>120</v>
      </c>
    </row>
    <row r="4" spans="1:10" ht="19.95" customHeight="1" x14ac:dyDescent="0.3">
      <c r="A4" s="20" t="s">
        <v>121</v>
      </c>
      <c r="B4" s="21" t="s">
        <v>122</v>
      </c>
      <c r="C4" s="21" t="s">
        <v>117</v>
      </c>
      <c r="D4" s="20" t="s">
        <v>123</v>
      </c>
      <c r="E4" s="22">
        <v>108</v>
      </c>
      <c r="F4" s="22">
        <v>120.96</v>
      </c>
      <c r="G4" s="22">
        <v>40.32</v>
      </c>
      <c r="H4" s="21" t="s">
        <v>124</v>
      </c>
      <c r="I4" s="22">
        <v>0</v>
      </c>
      <c r="J4" s="20" t="s">
        <v>120</v>
      </c>
    </row>
    <row r="5" spans="1:10" ht="19.95" customHeight="1" x14ac:dyDescent="0.3">
      <c r="A5" s="14" t="s">
        <v>125</v>
      </c>
      <c r="B5" s="15" t="s">
        <v>126</v>
      </c>
      <c r="C5" s="15" t="s">
        <v>127</v>
      </c>
      <c r="D5" s="14" t="s">
        <v>128</v>
      </c>
      <c r="E5" s="16">
        <v>28.26</v>
      </c>
      <c r="F5" s="16">
        <v>31.93</v>
      </c>
      <c r="G5" s="16">
        <v>31.93</v>
      </c>
      <c r="H5" s="15" t="s">
        <v>129</v>
      </c>
      <c r="I5" s="16">
        <v>5.5</v>
      </c>
      <c r="J5" s="14" t="s">
        <v>120</v>
      </c>
    </row>
    <row r="6" spans="1:10" ht="19.95" customHeight="1" x14ac:dyDescent="0.3">
      <c r="A6" s="20" t="s">
        <v>130</v>
      </c>
      <c r="B6" s="21" t="s">
        <v>131</v>
      </c>
      <c r="C6" s="21" t="s">
        <v>132</v>
      </c>
      <c r="D6" s="20" t="s">
        <v>133</v>
      </c>
      <c r="E6" s="22">
        <v>0</v>
      </c>
      <c r="F6" s="22">
        <v>3</v>
      </c>
      <c r="G6" s="22">
        <v>0</v>
      </c>
      <c r="H6" s="21" t="s">
        <v>134</v>
      </c>
      <c r="I6" s="22">
        <v>35</v>
      </c>
      <c r="J6" s="20" t="s">
        <v>120</v>
      </c>
    </row>
    <row r="7" spans="1:10" ht="19.95" customHeight="1" x14ac:dyDescent="0.3">
      <c r="A7" s="14" t="s">
        <v>135</v>
      </c>
      <c r="B7" s="15" t="s">
        <v>136</v>
      </c>
      <c r="C7" s="15" t="s">
        <v>137</v>
      </c>
      <c r="D7" s="14" t="s">
        <v>138</v>
      </c>
      <c r="E7" s="16">
        <v>30</v>
      </c>
      <c r="F7" s="16">
        <v>25</v>
      </c>
      <c r="G7" s="16">
        <v>1.25</v>
      </c>
      <c r="H7" s="15" t="s">
        <v>139</v>
      </c>
      <c r="I7" s="16">
        <v>15</v>
      </c>
      <c r="J7" s="14" t="s">
        <v>120</v>
      </c>
    </row>
    <row r="8" spans="1:10" ht="19.95" customHeight="1" x14ac:dyDescent="0.3">
      <c r="A8" s="20" t="s">
        <v>140</v>
      </c>
      <c r="B8" s="21" t="s">
        <v>141</v>
      </c>
      <c r="C8" s="21" t="s">
        <v>142</v>
      </c>
      <c r="D8" s="20" t="s">
        <v>143</v>
      </c>
      <c r="E8" s="22">
        <v>88.35</v>
      </c>
      <c r="F8" s="22">
        <v>20</v>
      </c>
      <c r="G8" s="22">
        <v>1</v>
      </c>
      <c r="H8" s="21" t="s">
        <v>144</v>
      </c>
      <c r="I8" s="22">
        <v>55</v>
      </c>
      <c r="J8" s="20" t="s">
        <v>120</v>
      </c>
    </row>
    <row r="9" spans="1:10" ht="19.95" customHeight="1" x14ac:dyDescent="0.3">
      <c r="A9" s="14" t="s">
        <v>145</v>
      </c>
      <c r="B9" s="15" t="s">
        <v>146</v>
      </c>
      <c r="C9" s="15" t="s">
        <v>147</v>
      </c>
      <c r="D9" s="14" t="s">
        <v>148</v>
      </c>
      <c r="E9" s="16">
        <v>0</v>
      </c>
      <c r="F9" s="16">
        <v>0</v>
      </c>
      <c r="G9" s="16">
        <v>0</v>
      </c>
      <c r="H9" s="15" t="s">
        <v>149</v>
      </c>
      <c r="I9" s="16">
        <v>7.5</v>
      </c>
      <c r="J9" s="14" t="s">
        <v>120</v>
      </c>
    </row>
    <row r="10" spans="1:10" ht="19.95" customHeight="1" x14ac:dyDescent="0.3">
      <c r="A10" s="20" t="s">
        <v>150</v>
      </c>
      <c r="B10" s="21" t="s">
        <v>151</v>
      </c>
      <c r="C10" s="21" t="s">
        <v>152</v>
      </c>
      <c r="D10" s="20" t="s">
        <v>153</v>
      </c>
      <c r="E10" s="22">
        <v>0</v>
      </c>
      <c r="F10" s="22">
        <v>25</v>
      </c>
      <c r="G10" s="22">
        <v>0</v>
      </c>
      <c r="H10" s="21" t="s">
        <v>154</v>
      </c>
      <c r="I10" s="22">
        <v>18.5</v>
      </c>
      <c r="J10" s="20" t="s">
        <v>120</v>
      </c>
    </row>
    <row r="11" spans="1:10" ht="19.95" customHeight="1" x14ac:dyDescent="0.3">
      <c r="A11" s="14" t="s">
        <v>155</v>
      </c>
      <c r="B11" s="15" t="s">
        <v>156</v>
      </c>
      <c r="C11" s="15" t="s">
        <v>157</v>
      </c>
      <c r="D11" s="14" t="s">
        <v>158</v>
      </c>
      <c r="E11" s="16">
        <v>72</v>
      </c>
      <c r="F11" s="16">
        <v>86.4</v>
      </c>
      <c r="G11" s="16">
        <v>4.32</v>
      </c>
      <c r="H11" s="15" t="s">
        <v>159</v>
      </c>
      <c r="I11" s="16">
        <v>11</v>
      </c>
      <c r="J11" s="14" t="s">
        <v>120</v>
      </c>
    </row>
    <row r="12" spans="1:10" ht="19.95" customHeight="1" x14ac:dyDescent="0.3">
      <c r="A12" s="20" t="s">
        <v>160</v>
      </c>
      <c r="B12" s="21" t="s">
        <v>161</v>
      </c>
      <c r="C12" s="21" t="s">
        <v>162</v>
      </c>
      <c r="D12" s="20" t="s">
        <v>163</v>
      </c>
      <c r="E12" s="22">
        <v>0</v>
      </c>
      <c r="F12" s="22">
        <v>60</v>
      </c>
      <c r="G12" s="22">
        <v>0</v>
      </c>
      <c r="H12" s="21" t="s">
        <v>164</v>
      </c>
      <c r="I12" s="22">
        <v>3</v>
      </c>
      <c r="J12" s="20" t="s">
        <v>120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2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1" width="18" customWidth="1"/>
    <col min="2" max="2" width="19" customWidth="1"/>
    <col min="3" max="3" width="14" customWidth="1"/>
    <col min="4" max="4" width="19" customWidth="1"/>
    <col min="5" max="5" width="30" customWidth="1"/>
    <col min="6" max="6" width="24" customWidth="1"/>
    <col min="7" max="7" width="26" customWidth="1"/>
    <col min="8" max="8" width="19" customWidth="1"/>
    <col min="9" max="9" width="18" customWidth="1"/>
    <col min="10" max="10" width="20" customWidth="1"/>
    <col min="11" max="11" width="24" customWidth="1"/>
    <col min="12" max="12" width="14" customWidth="1"/>
  </cols>
  <sheetData>
    <row r="1" spans="1:12" ht="24" customHeight="1" x14ac:dyDescent="0.3">
      <c r="A1" s="13" t="s">
        <v>165</v>
      </c>
    </row>
    <row r="2" spans="1:12" ht="28.05" customHeight="1" x14ac:dyDescent="0.3">
      <c r="A2" s="3" t="s">
        <v>166</v>
      </c>
      <c r="B2" s="3" t="s">
        <v>167</v>
      </c>
      <c r="C2" s="3" t="s">
        <v>52</v>
      </c>
      <c r="D2" s="3" t="s">
        <v>168</v>
      </c>
      <c r="E2" s="3" t="s">
        <v>169</v>
      </c>
      <c r="F2" s="3" t="s">
        <v>170</v>
      </c>
      <c r="G2" s="3" t="s">
        <v>171</v>
      </c>
      <c r="H2" s="3" t="s">
        <v>172</v>
      </c>
      <c r="I2" s="3" t="s">
        <v>173</v>
      </c>
      <c r="J2" s="3" t="s">
        <v>174</v>
      </c>
      <c r="K2" s="3" t="s">
        <v>175</v>
      </c>
      <c r="L2" s="3" t="s">
        <v>176</v>
      </c>
    </row>
    <row r="3" spans="1:12" ht="19.95" customHeight="1" x14ac:dyDescent="0.3">
      <c r="A3" s="14" t="s">
        <v>177</v>
      </c>
      <c r="B3" s="15" t="s">
        <v>178</v>
      </c>
      <c r="C3" s="14" t="s">
        <v>62</v>
      </c>
      <c r="D3" s="14" t="s">
        <v>179</v>
      </c>
      <c r="E3" s="15" t="s">
        <v>180</v>
      </c>
      <c r="F3" s="26" t="s">
        <v>181</v>
      </c>
      <c r="G3" s="26" t="s">
        <v>182</v>
      </c>
      <c r="H3" s="19">
        <v>44250</v>
      </c>
      <c r="I3" s="19">
        <v>14200</v>
      </c>
      <c r="J3" s="16">
        <v>30.05</v>
      </c>
      <c r="K3" s="14" t="s">
        <v>115</v>
      </c>
      <c r="L3" s="14" t="s">
        <v>183</v>
      </c>
    </row>
    <row r="4" spans="1:12" ht="19.95" customHeight="1" x14ac:dyDescent="0.3">
      <c r="A4" s="20" t="s">
        <v>184</v>
      </c>
      <c r="B4" s="21" t="s">
        <v>185</v>
      </c>
      <c r="C4" s="20" t="s">
        <v>62</v>
      </c>
      <c r="D4" s="20" t="s">
        <v>186</v>
      </c>
      <c r="E4" s="21" t="s">
        <v>180</v>
      </c>
      <c r="F4" s="27" t="s">
        <v>187</v>
      </c>
      <c r="G4" s="27" t="s">
        <v>188</v>
      </c>
      <c r="H4" s="25">
        <v>44180</v>
      </c>
      <c r="I4" s="25">
        <v>14150</v>
      </c>
      <c r="J4" s="22">
        <v>30.03</v>
      </c>
      <c r="K4" s="20" t="s">
        <v>115</v>
      </c>
      <c r="L4" s="20" t="s">
        <v>183</v>
      </c>
    </row>
    <row r="5" spans="1:12" ht="19.95" customHeight="1" x14ac:dyDescent="0.3">
      <c r="A5" s="14" t="s">
        <v>189</v>
      </c>
      <c r="B5" s="15" t="s">
        <v>190</v>
      </c>
      <c r="C5" s="14" t="s">
        <v>67</v>
      </c>
      <c r="D5" s="14" t="s">
        <v>191</v>
      </c>
      <c r="E5" s="15" t="s">
        <v>192</v>
      </c>
      <c r="F5" s="26" t="s">
        <v>188</v>
      </c>
      <c r="G5" s="26" t="s">
        <v>193</v>
      </c>
      <c r="H5" s="19">
        <v>45100</v>
      </c>
      <c r="I5" s="19">
        <v>15020</v>
      </c>
      <c r="J5" s="16">
        <v>30.08</v>
      </c>
      <c r="K5" s="14" t="s">
        <v>121</v>
      </c>
      <c r="L5" s="14" t="s">
        <v>183</v>
      </c>
    </row>
    <row r="6" spans="1:12" ht="19.95" customHeight="1" x14ac:dyDescent="0.3">
      <c r="A6" s="20" t="s">
        <v>194</v>
      </c>
      <c r="B6" s="21" t="s">
        <v>195</v>
      </c>
      <c r="C6" s="20" t="s">
        <v>62</v>
      </c>
      <c r="D6" s="20" t="s">
        <v>196</v>
      </c>
      <c r="E6" s="21" t="s">
        <v>180</v>
      </c>
      <c r="F6" s="27" t="s">
        <v>197</v>
      </c>
      <c r="G6" s="27" t="s">
        <v>198</v>
      </c>
      <c r="H6" s="25">
        <v>44320</v>
      </c>
      <c r="I6" s="25">
        <v>14310</v>
      </c>
      <c r="J6" s="22">
        <v>30.01</v>
      </c>
      <c r="K6" s="20" t="s">
        <v>115</v>
      </c>
      <c r="L6" s="20" t="s">
        <v>183</v>
      </c>
    </row>
    <row r="7" spans="1:12" ht="19.95" customHeight="1" x14ac:dyDescent="0.3">
      <c r="A7" s="14" t="s">
        <v>199</v>
      </c>
      <c r="B7" s="15" t="s">
        <v>200</v>
      </c>
      <c r="C7" s="14" t="s">
        <v>70</v>
      </c>
      <c r="D7" s="14" t="s">
        <v>201</v>
      </c>
      <c r="E7" s="15" t="s">
        <v>202</v>
      </c>
      <c r="F7" s="26" t="s">
        <v>203</v>
      </c>
      <c r="G7" s="26" t="s">
        <v>204</v>
      </c>
      <c r="H7" s="19">
        <v>28500</v>
      </c>
      <c r="I7" s="19">
        <v>8500</v>
      </c>
      <c r="J7" s="16">
        <v>20</v>
      </c>
      <c r="K7" s="14" t="s">
        <v>125</v>
      </c>
      <c r="L7" s="14" t="s">
        <v>183</v>
      </c>
    </row>
    <row r="8" spans="1:12" ht="19.95" customHeight="1" x14ac:dyDescent="0.3">
      <c r="A8" s="20" t="s">
        <v>205</v>
      </c>
      <c r="B8" s="21" t="s">
        <v>206</v>
      </c>
      <c r="C8" s="20" t="s">
        <v>62</v>
      </c>
      <c r="D8" s="20" t="s">
        <v>207</v>
      </c>
      <c r="E8" s="21" t="s">
        <v>180</v>
      </c>
      <c r="F8" s="27" t="s">
        <v>208</v>
      </c>
      <c r="G8" s="27" t="s">
        <v>209</v>
      </c>
      <c r="H8" s="25">
        <v>44290</v>
      </c>
      <c r="I8" s="25">
        <v>14240</v>
      </c>
      <c r="J8" s="22">
        <v>30.05</v>
      </c>
      <c r="K8" s="20" t="s">
        <v>115</v>
      </c>
      <c r="L8" s="20" t="s">
        <v>183</v>
      </c>
    </row>
    <row r="9" spans="1:12" ht="19.95" customHeight="1" x14ac:dyDescent="0.3">
      <c r="A9" s="14" t="s">
        <v>210</v>
      </c>
      <c r="B9" s="15" t="s">
        <v>211</v>
      </c>
      <c r="C9" s="14" t="s">
        <v>62</v>
      </c>
      <c r="D9" s="14" t="s">
        <v>212</v>
      </c>
      <c r="E9" s="15" t="s">
        <v>180</v>
      </c>
      <c r="F9" s="26" t="s">
        <v>213</v>
      </c>
      <c r="G9" s="26" t="s">
        <v>214</v>
      </c>
      <c r="H9" s="19">
        <v>44150</v>
      </c>
      <c r="I9" s="19">
        <v>14190</v>
      </c>
      <c r="J9" s="16">
        <v>29.96</v>
      </c>
      <c r="K9" s="14" t="s">
        <v>115</v>
      </c>
      <c r="L9" s="14" t="s">
        <v>183</v>
      </c>
    </row>
    <row r="10" spans="1:12" ht="19.95" customHeight="1" x14ac:dyDescent="0.3">
      <c r="A10" s="20" t="s">
        <v>215</v>
      </c>
      <c r="B10" s="21" t="s">
        <v>216</v>
      </c>
      <c r="C10" s="20" t="s">
        <v>62</v>
      </c>
      <c r="D10" s="20" t="s">
        <v>179</v>
      </c>
      <c r="E10" s="21" t="s">
        <v>180</v>
      </c>
      <c r="F10" s="27" t="s">
        <v>217</v>
      </c>
      <c r="G10" s="27" t="s">
        <v>218</v>
      </c>
      <c r="H10" s="25">
        <v>44300</v>
      </c>
      <c r="I10" s="25">
        <v>14220</v>
      </c>
      <c r="J10" s="22">
        <v>30.08</v>
      </c>
      <c r="K10" s="20" t="s">
        <v>115</v>
      </c>
      <c r="L10" s="20" t="s">
        <v>183</v>
      </c>
    </row>
    <row r="11" spans="1:12" ht="19.95" customHeight="1" x14ac:dyDescent="0.3">
      <c r="A11" s="14" t="s">
        <v>219</v>
      </c>
      <c r="B11" s="15" t="s">
        <v>220</v>
      </c>
      <c r="C11" s="14" t="s">
        <v>62</v>
      </c>
      <c r="D11" s="14" t="s">
        <v>186</v>
      </c>
      <c r="E11" s="15" t="s">
        <v>180</v>
      </c>
      <c r="F11" s="26" t="s">
        <v>221</v>
      </c>
      <c r="G11" s="26" t="s">
        <v>222</v>
      </c>
      <c r="H11" s="19">
        <v>44210</v>
      </c>
      <c r="I11" s="19">
        <v>14180</v>
      </c>
      <c r="J11" s="16">
        <v>30.03</v>
      </c>
      <c r="K11" s="14" t="s">
        <v>115</v>
      </c>
      <c r="L11" s="14" t="s">
        <v>183</v>
      </c>
    </row>
    <row r="12" spans="1:12" ht="19.95" customHeight="1" x14ac:dyDescent="0.3">
      <c r="A12" s="20" t="s">
        <v>223</v>
      </c>
      <c r="B12" s="21" t="s">
        <v>224</v>
      </c>
      <c r="C12" s="20" t="s">
        <v>62</v>
      </c>
      <c r="D12" s="20" t="s">
        <v>196</v>
      </c>
      <c r="E12" s="21" t="s">
        <v>180</v>
      </c>
      <c r="F12" s="27" t="s">
        <v>225</v>
      </c>
      <c r="G12" s="27" t="s">
        <v>226</v>
      </c>
      <c r="H12" s="25">
        <v>44190</v>
      </c>
      <c r="I12" s="25">
        <v>14200</v>
      </c>
      <c r="J12" s="22">
        <v>29.99</v>
      </c>
      <c r="K12" s="20" t="s">
        <v>115</v>
      </c>
      <c r="L12" s="20" t="s">
        <v>183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2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1" width="18" customWidth="1"/>
    <col min="2" max="2" width="23" customWidth="1"/>
    <col min="3" max="3" width="34" customWidth="1"/>
    <col min="4" max="4" width="19" customWidth="1"/>
    <col min="5" max="5" width="22" customWidth="1"/>
    <col min="6" max="6" width="24" customWidth="1"/>
    <col min="7" max="8" width="27" customWidth="1"/>
    <col min="9" max="9" width="22" customWidth="1"/>
    <col min="10" max="10" width="27" customWidth="1"/>
    <col min="11" max="11" width="20" customWidth="1"/>
    <col min="12" max="12" width="22" customWidth="1"/>
  </cols>
  <sheetData>
    <row r="1" spans="1:12" ht="24" customHeight="1" x14ac:dyDescent="0.3">
      <c r="A1" s="13" t="s">
        <v>227</v>
      </c>
    </row>
    <row r="2" spans="1:12" ht="28.05" customHeight="1" x14ac:dyDescent="0.3">
      <c r="A2" s="3" t="s">
        <v>228</v>
      </c>
      <c r="B2" s="3" t="s">
        <v>229</v>
      </c>
      <c r="C2" s="3" t="s">
        <v>230</v>
      </c>
      <c r="D2" s="3" t="s">
        <v>168</v>
      </c>
      <c r="E2" s="3" t="s">
        <v>231</v>
      </c>
      <c r="F2" s="3" t="s">
        <v>232</v>
      </c>
      <c r="G2" s="3" t="s">
        <v>233</v>
      </c>
      <c r="H2" s="3" t="s">
        <v>234</v>
      </c>
      <c r="I2" s="3" t="s">
        <v>235</v>
      </c>
      <c r="J2" s="3" t="s">
        <v>236</v>
      </c>
      <c r="K2" s="3" t="s">
        <v>237</v>
      </c>
      <c r="L2" s="3" t="s">
        <v>238</v>
      </c>
    </row>
    <row r="3" spans="1:12" ht="19.95" customHeight="1" x14ac:dyDescent="0.3">
      <c r="A3" s="14" t="s">
        <v>239</v>
      </c>
      <c r="B3" s="15" t="s">
        <v>240</v>
      </c>
      <c r="C3" s="15" t="s">
        <v>241</v>
      </c>
      <c r="D3" s="14" t="s">
        <v>242</v>
      </c>
      <c r="E3" s="14" t="s">
        <v>155</v>
      </c>
      <c r="F3" s="26" t="s">
        <v>188</v>
      </c>
      <c r="G3" s="26" t="s">
        <v>243</v>
      </c>
      <c r="H3" s="16">
        <v>40</v>
      </c>
      <c r="I3" s="16">
        <v>30</v>
      </c>
      <c r="J3" s="16">
        <v>10</v>
      </c>
      <c r="K3" s="14" t="s">
        <v>244</v>
      </c>
      <c r="L3" s="14" t="s">
        <v>245</v>
      </c>
    </row>
    <row r="4" spans="1:12" ht="19.95" customHeight="1" x14ac:dyDescent="0.3">
      <c r="A4" s="20" t="s">
        <v>246</v>
      </c>
      <c r="B4" s="21" t="s">
        <v>247</v>
      </c>
      <c r="C4" s="21" t="s">
        <v>248</v>
      </c>
      <c r="D4" s="20" t="s">
        <v>249</v>
      </c>
      <c r="E4" s="20" t="s">
        <v>155</v>
      </c>
      <c r="F4" s="27" t="s">
        <v>250</v>
      </c>
      <c r="G4" s="27" t="s">
        <v>204</v>
      </c>
      <c r="H4" s="22">
        <v>50</v>
      </c>
      <c r="I4" s="22">
        <v>30</v>
      </c>
      <c r="J4" s="22">
        <v>20</v>
      </c>
      <c r="K4" s="20" t="s">
        <v>244</v>
      </c>
      <c r="L4" s="20" t="s">
        <v>245</v>
      </c>
    </row>
    <row r="5" spans="1:12" ht="19.95" customHeight="1" x14ac:dyDescent="0.3">
      <c r="A5" s="14" t="s">
        <v>251</v>
      </c>
      <c r="B5" s="15" t="s">
        <v>252</v>
      </c>
      <c r="C5" s="15" t="s">
        <v>253</v>
      </c>
      <c r="D5" s="14" t="s">
        <v>254</v>
      </c>
      <c r="E5" s="14" t="s">
        <v>155</v>
      </c>
      <c r="F5" s="26" t="s">
        <v>255</v>
      </c>
      <c r="G5" s="26" t="s">
        <v>256</v>
      </c>
      <c r="H5" s="16">
        <v>60</v>
      </c>
      <c r="I5" s="16">
        <v>30</v>
      </c>
      <c r="J5" s="16">
        <v>30</v>
      </c>
      <c r="K5" s="14" t="s">
        <v>244</v>
      </c>
      <c r="L5" s="14" t="s">
        <v>245</v>
      </c>
    </row>
    <row r="6" spans="1:12" ht="19.95" customHeight="1" x14ac:dyDescent="0.3">
      <c r="A6" s="20" t="s">
        <v>257</v>
      </c>
      <c r="B6" s="21" t="s">
        <v>258</v>
      </c>
      <c r="C6" s="21" t="s">
        <v>248</v>
      </c>
      <c r="D6" s="20" t="s">
        <v>259</v>
      </c>
      <c r="E6" s="20" t="s">
        <v>155</v>
      </c>
      <c r="F6" s="27" t="s">
        <v>260</v>
      </c>
      <c r="G6" s="27" t="s">
        <v>261</v>
      </c>
      <c r="H6" s="22">
        <v>70</v>
      </c>
      <c r="I6" s="22">
        <v>30</v>
      </c>
      <c r="J6" s="22">
        <v>40</v>
      </c>
      <c r="K6" s="20" t="s">
        <v>244</v>
      </c>
      <c r="L6" s="20" t="s">
        <v>245</v>
      </c>
    </row>
    <row r="7" spans="1:12" ht="19.95" customHeight="1" x14ac:dyDescent="0.3">
      <c r="A7" s="14" t="s">
        <v>262</v>
      </c>
      <c r="B7" s="15" t="s">
        <v>263</v>
      </c>
      <c r="C7" s="15" t="s">
        <v>241</v>
      </c>
      <c r="D7" s="14" t="s">
        <v>242</v>
      </c>
      <c r="E7" s="14" t="s">
        <v>155</v>
      </c>
      <c r="F7" s="26" t="s">
        <v>264</v>
      </c>
      <c r="G7" s="26" t="s">
        <v>265</v>
      </c>
      <c r="H7" s="16">
        <v>50</v>
      </c>
      <c r="I7" s="16">
        <v>20</v>
      </c>
      <c r="J7" s="16">
        <v>30</v>
      </c>
      <c r="K7" s="14" t="s">
        <v>244</v>
      </c>
      <c r="L7" s="14" t="s">
        <v>245</v>
      </c>
    </row>
    <row r="8" spans="1:12" ht="19.95" customHeight="1" x14ac:dyDescent="0.3">
      <c r="A8" s="20" t="s">
        <v>266</v>
      </c>
      <c r="B8" s="21" t="s">
        <v>267</v>
      </c>
      <c r="C8" s="21" t="s">
        <v>253</v>
      </c>
      <c r="D8" s="20" t="s">
        <v>254</v>
      </c>
      <c r="E8" s="20" t="s">
        <v>155</v>
      </c>
      <c r="F8" s="27" t="s">
        <v>268</v>
      </c>
      <c r="G8" s="27" t="s">
        <v>269</v>
      </c>
      <c r="H8" s="22">
        <v>45</v>
      </c>
      <c r="I8" s="22">
        <v>30</v>
      </c>
      <c r="J8" s="22">
        <v>15</v>
      </c>
      <c r="K8" s="20" t="s">
        <v>244</v>
      </c>
      <c r="L8" s="20" t="s">
        <v>245</v>
      </c>
    </row>
    <row r="9" spans="1:12" ht="19.95" customHeight="1" x14ac:dyDescent="0.3">
      <c r="A9" s="14" t="s">
        <v>270</v>
      </c>
      <c r="B9" s="15" t="s">
        <v>271</v>
      </c>
      <c r="C9" s="15" t="s">
        <v>241</v>
      </c>
      <c r="D9" s="14" t="s">
        <v>242</v>
      </c>
      <c r="E9" s="14" t="s">
        <v>155</v>
      </c>
      <c r="F9" s="26" t="s">
        <v>272</v>
      </c>
      <c r="G9" s="26" t="s">
        <v>273</v>
      </c>
      <c r="H9" s="16">
        <v>55</v>
      </c>
      <c r="I9" s="16">
        <v>30</v>
      </c>
      <c r="J9" s="16">
        <v>25</v>
      </c>
      <c r="K9" s="14" t="s">
        <v>244</v>
      </c>
      <c r="L9" s="14" t="s">
        <v>245</v>
      </c>
    </row>
    <row r="10" spans="1:12" ht="19.95" customHeight="1" x14ac:dyDescent="0.3">
      <c r="A10" s="20" t="s">
        <v>274</v>
      </c>
      <c r="B10" s="21" t="s">
        <v>275</v>
      </c>
      <c r="C10" s="21" t="s">
        <v>248</v>
      </c>
      <c r="D10" s="20" t="s">
        <v>249</v>
      </c>
      <c r="E10" s="20" t="s">
        <v>155</v>
      </c>
      <c r="F10" s="27" t="s">
        <v>276</v>
      </c>
      <c r="G10" s="27" t="s">
        <v>277</v>
      </c>
      <c r="H10" s="22">
        <v>65</v>
      </c>
      <c r="I10" s="22">
        <v>30</v>
      </c>
      <c r="J10" s="22">
        <v>35</v>
      </c>
      <c r="K10" s="20" t="s">
        <v>244</v>
      </c>
      <c r="L10" s="20" t="s">
        <v>245</v>
      </c>
    </row>
    <row r="11" spans="1:12" ht="19.95" customHeight="1" x14ac:dyDescent="0.3">
      <c r="A11" s="14" t="s">
        <v>278</v>
      </c>
      <c r="B11" s="15" t="s">
        <v>279</v>
      </c>
      <c r="C11" s="15" t="s">
        <v>280</v>
      </c>
      <c r="D11" s="14" t="s">
        <v>281</v>
      </c>
      <c r="E11" s="14" t="s">
        <v>155</v>
      </c>
      <c r="F11" s="26" t="s">
        <v>282</v>
      </c>
      <c r="G11" s="26" t="s">
        <v>283</v>
      </c>
      <c r="H11" s="16">
        <v>75</v>
      </c>
      <c r="I11" s="16">
        <v>30</v>
      </c>
      <c r="J11" s="16">
        <v>45</v>
      </c>
      <c r="K11" s="14" t="s">
        <v>284</v>
      </c>
      <c r="L11" s="14" t="s">
        <v>245</v>
      </c>
    </row>
    <row r="12" spans="1:12" ht="19.95" customHeight="1" x14ac:dyDescent="0.3">
      <c r="A12" s="20" t="s">
        <v>285</v>
      </c>
      <c r="B12" s="21" t="s">
        <v>286</v>
      </c>
      <c r="C12" s="21" t="s">
        <v>241</v>
      </c>
      <c r="D12" s="20" t="s">
        <v>259</v>
      </c>
      <c r="E12" s="20" t="s">
        <v>155</v>
      </c>
      <c r="F12" s="27" t="s">
        <v>287</v>
      </c>
      <c r="G12" s="27" t="s">
        <v>288</v>
      </c>
      <c r="H12" s="22">
        <v>55</v>
      </c>
      <c r="I12" s="22">
        <v>20</v>
      </c>
      <c r="J12" s="22">
        <v>35</v>
      </c>
      <c r="K12" s="20" t="s">
        <v>244</v>
      </c>
      <c r="L12" s="20" t="s">
        <v>245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2"/>
  <sheetViews>
    <sheetView workbookViewId="0">
      <pane ySplit="2" topLeftCell="A3" activePane="bottomLeft" state="frozen"/>
      <selection pane="bottomLeft" activeCell="B28" sqref="B28"/>
    </sheetView>
  </sheetViews>
  <sheetFormatPr defaultRowHeight="14.4" x14ac:dyDescent="0.3"/>
  <cols>
    <col min="1" max="1" width="17" customWidth="1"/>
    <col min="2" max="2" width="24" customWidth="1"/>
    <col min="3" max="3" width="16" customWidth="1"/>
    <col min="4" max="4" width="29" customWidth="1"/>
    <col min="5" max="5" width="26" customWidth="1"/>
    <col min="6" max="6" width="24" customWidth="1"/>
    <col min="7" max="7" width="31" customWidth="1"/>
    <col min="8" max="8" width="27" customWidth="1"/>
    <col min="9" max="9" width="25" customWidth="1"/>
    <col min="10" max="10" width="23" customWidth="1"/>
    <col min="11" max="11" width="28" customWidth="1"/>
    <col min="12" max="12" width="18" customWidth="1"/>
  </cols>
  <sheetData>
    <row r="1" spans="1:12" ht="24" customHeight="1" x14ac:dyDescent="0.3">
      <c r="A1" s="13" t="s">
        <v>289</v>
      </c>
    </row>
    <row r="2" spans="1:12" ht="28.05" customHeight="1" x14ac:dyDescent="0.3">
      <c r="A2" s="3" t="s">
        <v>290</v>
      </c>
      <c r="B2" s="3" t="s">
        <v>291</v>
      </c>
      <c r="C2" s="3" t="s">
        <v>292</v>
      </c>
      <c r="D2" s="3" t="s">
        <v>293</v>
      </c>
      <c r="E2" s="3" t="s">
        <v>294</v>
      </c>
      <c r="F2" s="3" t="s">
        <v>295</v>
      </c>
      <c r="G2" s="3" t="s">
        <v>296</v>
      </c>
      <c r="H2" s="3" t="s">
        <v>297</v>
      </c>
      <c r="I2" s="3" t="s">
        <v>298</v>
      </c>
      <c r="J2" s="3" t="s">
        <v>299</v>
      </c>
      <c r="K2" s="3" t="s">
        <v>300</v>
      </c>
      <c r="L2" s="3" t="s">
        <v>301</v>
      </c>
    </row>
    <row r="3" spans="1:12" ht="19.95" customHeight="1" x14ac:dyDescent="0.3">
      <c r="A3" s="14" t="s">
        <v>302</v>
      </c>
      <c r="B3" s="26" t="s">
        <v>303</v>
      </c>
      <c r="C3" s="14" t="s">
        <v>304</v>
      </c>
      <c r="D3" s="16">
        <v>20</v>
      </c>
      <c r="E3" s="16">
        <v>19.8</v>
      </c>
      <c r="F3" s="28">
        <v>218.5</v>
      </c>
      <c r="G3" s="17">
        <v>92</v>
      </c>
      <c r="H3" s="16">
        <v>6.7320000000000002</v>
      </c>
      <c r="I3" s="16">
        <v>98.4</v>
      </c>
      <c r="J3" s="16">
        <v>1.2</v>
      </c>
      <c r="K3" s="14" t="s">
        <v>305</v>
      </c>
      <c r="L3" s="14" t="s">
        <v>306</v>
      </c>
    </row>
    <row r="4" spans="1:12" ht="19.95" customHeight="1" x14ac:dyDescent="0.3">
      <c r="A4" s="20" t="s">
        <v>307</v>
      </c>
      <c r="B4" s="27" t="s">
        <v>308</v>
      </c>
      <c r="C4" s="20" t="s">
        <v>304</v>
      </c>
      <c r="D4" s="22">
        <v>20</v>
      </c>
      <c r="E4" s="22">
        <v>20.100000000000001</v>
      </c>
      <c r="F4" s="29">
        <v>222</v>
      </c>
      <c r="G4" s="23">
        <v>94.5</v>
      </c>
      <c r="H4" s="22">
        <v>6.8339999999999996</v>
      </c>
      <c r="I4" s="22">
        <v>100.2</v>
      </c>
      <c r="J4" s="22">
        <v>1.25</v>
      </c>
      <c r="K4" s="20" t="s">
        <v>305</v>
      </c>
      <c r="L4" s="20" t="s">
        <v>306</v>
      </c>
    </row>
    <row r="5" spans="1:12" ht="19.95" customHeight="1" x14ac:dyDescent="0.3">
      <c r="A5" s="14" t="s">
        <v>309</v>
      </c>
      <c r="B5" s="26" t="s">
        <v>310</v>
      </c>
      <c r="C5" s="14" t="s">
        <v>304</v>
      </c>
      <c r="D5" s="16">
        <v>20</v>
      </c>
      <c r="E5" s="16">
        <v>20.05</v>
      </c>
      <c r="F5" s="28">
        <v>220.8</v>
      </c>
      <c r="G5" s="17">
        <v>93.8</v>
      </c>
      <c r="H5" s="16">
        <v>6.8170000000000002</v>
      </c>
      <c r="I5" s="16">
        <v>99.8</v>
      </c>
      <c r="J5" s="16">
        <v>1.25</v>
      </c>
      <c r="K5" s="14" t="s">
        <v>305</v>
      </c>
      <c r="L5" s="14" t="s">
        <v>306</v>
      </c>
    </row>
    <row r="6" spans="1:12" ht="19.95" customHeight="1" x14ac:dyDescent="0.3">
      <c r="A6" s="20" t="s">
        <v>311</v>
      </c>
      <c r="B6" s="27" t="s">
        <v>312</v>
      </c>
      <c r="C6" s="20" t="s">
        <v>304</v>
      </c>
      <c r="D6" s="22">
        <v>20</v>
      </c>
      <c r="E6" s="22">
        <v>20.2</v>
      </c>
      <c r="F6" s="29">
        <v>223.1</v>
      </c>
      <c r="G6" s="23">
        <v>95</v>
      </c>
      <c r="H6" s="22">
        <v>6.8680000000000003</v>
      </c>
      <c r="I6" s="22">
        <v>101.5</v>
      </c>
      <c r="J6" s="22">
        <v>1.25</v>
      </c>
      <c r="K6" s="20" t="s">
        <v>305</v>
      </c>
      <c r="L6" s="20" t="s">
        <v>306</v>
      </c>
    </row>
    <row r="7" spans="1:12" ht="19.95" customHeight="1" x14ac:dyDescent="0.3">
      <c r="A7" s="14" t="s">
        <v>313</v>
      </c>
      <c r="B7" s="26" t="s">
        <v>204</v>
      </c>
      <c r="C7" s="14" t="s">
        <v>304</v>
      </c>
      <c r="D7" s="16">
        <v>20</v>
      </c>
      <c r="E7" s="16">
        <v>19.95</v>
      </c>
      <c r="F7" s="28">
        <v>221.4</v>
      </c>
      <c r="G7" s="17">
        <v>93.2</v>
      </c>
      <c r="H7" s="16">
        <v>6.7830000000000004</v>
      </c>
      <c r="I7" s="16">
        <v>99.1</v>
      </c>
      <c r="J7" s="16">
        <v>1.2</v>
      </c>
      <c r="K7" s="14" t="s">
        <v>305</v>
      </c>
      <c r="L7" s="14" t="s">
        <v>306</v>
      </c>
    </row>
    <row r="8" spans="1:12" ht="19.95" customHeight="1" x14ac:dyDescent="0.3">
      <c r="A8" s="20" t="s">
        <v>314</v>
      </c>
      <c r="B8" s="27" t="s">
        <v>315</v>
      </c>
      <c r="C8" s="20" t="s">
        <v>304</v>
      </c>
      <c r="D8" s="22">
        <v>20</v>
      </c>
      <c r="E8" s="22">
        <v>19.7</v>
      </c>
      <c r="F8" s="29">
        <v>219</v>
      </c>
      <c r="G8" s="23">
        <v>91.5</v>
      </c>
      <c r="H8" s="22">
        <v>6.6980000000000004</v>
      </c>
      <c r="I8" s="22">
        <v>97.6</v>
      </c>
      <c r="J8" s="22">
        <v>1.2</v>
      </c>
      <c r="K8" s="20" t="s">
        <v>305</v>
      </c>
      <c r="L8" s="20" t="s">
        <v>306</v>
      </c>
    </row>
    <row r="9" spans="1:12" ht="19.95" customHeight="1" x14ac:dyDescent="0.3">
      <c r="A9" s="14" t="s">
        <v>316</v>
      </c>
      <c r="B9" s="26" t="s">
        <v>317</v>
      </c>
      <c r="C9" s="14" t="s">
        <v>304</v>
      </c>
      <c r="D9" s="16">
        <v>20</v>
      </c>
      <c r="E9" s="16">
        <v>20.2</v>
      </c>
      <c r="F9" s="28">
        <v>222.5</v>
      </c>
      <c r="G9" s="17">
        <v>94</v>
      </c>
      <c r="H9" s="16">
        <v>6.8680000000000003</v>
      </c>
      <c r="I9" s="16">
        <v>100.9</v>
      </c>
      <c r="J9" s="16">
        <v>1.25</v>
      </c>
      <c r="K9" s="14" t="s">
        <v>305</v>
      </c>
      <c r="L9" s="14" t="s">
        <v>306</v>
      </c>
    </row>
    <row r="10" spans="1:12" ht="19.95" customHeight="1" x14ac:dyDescent="0.3">
      <c r="A10" s="20" t="s">
        <v>318</v>
      </c>
      <c r="B10" s="27" t="s">
        <v>319</v>
      </c>
      <c r="C10" s="20" t="s">
        <v>304</v>
      </c>
      <c r="D10" s="22">
        <v>20</v>
      </c>
      <c r="E10" s="22">
        <v>19.850000000000001</v>
      </c>
      <c r="F10" s="29">
        <v>219.5</v>
      </c>
      <c r="G10" s="23">
        <v>92.5</v>
      </c>
      <c r="H10" s="22">
        <v>6.7489999999999997</v>
      </c>
      <c r="I10" s="22">
        <v>98.8</v>
      </c>
      <c r="J10" s="22">
        <v>1.2</v>
      </c>
      <c r="K10" s="20" t="s">
        <v>305</v>
      </c>
      <c r="L10" s="20" t="s">
        <v>306</v>
      </c>
    </row>
    <row r="11" spans="1:12" ht="19.95" customHeight="1" x14ac:dyDescent="0.3">
      <c r="A11" s="14" t="s">
        <v>320</v>
      </c>
      <c r="B11" s="26" t="s">
        <v>321</v>
      </c>
      <c r="C11" s="14" t="s">
        <v>304</v>
      </c>
      <c r="D11" s="16">
        <v>20</v>
      </c>
      <c r="E11" s="16">
        <v>20.149999999999999</v>
      </c>
      <c r="F11" s="28">
        <v>221.8</v>
      </c>
      <c r="G11" s="17">
        <v>94.2</v>
      </c>
      <c r="H11" s="16">
        <v>6.851</v>
      </c>
      <c r="I11" s="16">
        <v>100.5</v>
      </c>
      <c r="J11" s="16">
        <v>1.25</v>
      </c>
      <c r="K11" s="14" t="s">
        <v>305</v>
      </c>
      <c r="L11" s="14" t="s">
        <v>306</v>
      </c>
    </row>
    <row r="12" spans="1:12" ht="19.95" customHeight="1" x14ac:dyDescent="0.3">
      <c r="A12" s="20" t="s">
        <v>322</v>
      </c>
      <c r="B12" s="27" t="s">
        <v>269</v>
      </c>
      <c r="C12" s="20" t="s">
        <v>304</v>
      </c>
      <c r="D12" s="22">
        <v>20</v>
      </c>
      <c r="E12" s="22">
        <v>12.5</v>
      </c>
      <c r="F12" s="29">
        <v>195</v>
      </c>
      <c r="G12" s="23">
        <v>60</v>
      </c>
      <c r="H12" s="22">
        <v>4.25</v>
      </c>
      <c r="I12" s="22">
        <v>72.3</v>
      </c>
      <c r="J12" s="22">
        <v>0.75</v>
      </c>
      <c r="K12" s="20" t="s">
        <v>323</v>
      </c>
      <c r="L12" s="20" t="s">
        <v>324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12"/>
  <sheetViews>
    <sheetView topLeftCell="G1" workbookViewId="0">
      <pane ySplit="2" topLeftCell="A3" activePane="bottomLeft" state="frozen"/>
      <selection pane="bottomLeft" activeCell="N3" sqref="N3"/>
    </sheetView>
  </sheetViews>
  <sheetFormatPr defaultRowHeight="14.4" x14ac:dyDescent="0.3"/>
  <cols>
    <col min="1" max="1" width="20" customWidth="1"/>
    <col min="2" max="2" width="19" customWidth="1"/>
    <col min="3" max="3" width="16" customWidth="1"/>
    <col min="4" max="4" width="22" customWidth="1"/>
    <col min="5" max="5" width="23" customWidth="1"/>
    <col min="6" max="6" width="26" customWidth="1"/>
    <col min="7" max="8" width="25" customWidth="1"/>
    <col min="9" max="9" width="28" customWidth="1"/>
    <col min="10" max="10" width="19" customWidth="1"/>
    <col min="11" max="11" width="28.44140625" bestFit="1" customWidth="1"/>
    <col min="12" max="12" width="25" customWidth="1"/>
    <col min="13" max="13" width="26" customWidth="1"/>
    <col min="14" max="14" width="28" customWidth="1"/>
  </cols>
  <sheetData>
    <row r="1" spans="1:14" ht="24" customHeight="1" x14ac:dyDescent="0.3">
      <c r="A1" s="13" t="s">
        <v>325</v>
      </c>
    </row>
    <row r="2" spans="1:14" ht="28.05" customHeight="1" x14ac:dyDescent="0.3">
      <c r="A2" s="3" t="s">
        <v>326</v>
      </c>
      <c r="B2" s="3" t="s">
        <v>327</v>
      </c>
      <c r="C2" s="3" t="s">
        <v>292</v>
      </c>
      <c r="D2" s="3" t="s">
        <v>328</v>
      </c>
      <c r="E2" s="3" t="s">
        <v>329</v>
      </c>
      <c r="F2" s="3" t="s">
        <v>330</v>
      </c>
      <c r="G2" s="3" t="s">
        <v>331</v>
      </c>
      <c r="H2" s="3" t="s">
        <v>332</v>
      </c>
      <c r="I2" s="3" t="s">
        <v>333</v>
      </c>
      <c r="J2" s="3" t="s">
        <v>334</v>
      </c>
      <c r="K2" s="3" t="s">
        <v>450</v>
      </c>
      <c r="L2" s="3" t="s">
        <v>335</v>
      </c>
      <c r="M2" s="3" t="s">
        <v>336</v>
      </c>
      <c r="N2" s="3" t="s">
        <v>337</v>
      </c>
    </row>
    <row r="3" spans="1:14" ht="19.95" customHeight="1" x14ac:dyDescent="0.3">
      <c r="A3" s="14" t="s">
        <v>338</v>
      </c>
      <c r="B3" s="30" t="s">
        <v>339</v>
      </c>
      <c r="C3" s="14" t="s">
        <v>304</v>
      </c>
      <c r="D3" s="16">
        <v>140</v>
      </c>
      <c r="E3" s="14" t="s">
        <v>340</v>
      </c>
      <c r="F3" s="18">
        <v>501550000</v>
      </c>
      <c r="G3" s="18">
        <v>11190200</v>
      </c>
      <c r="H3" s="18">
        <v>1011220</v>
      </c>
      <c r="I3" s="18">
        <v>663320</v>
      </c>
      <c r="J3" s="18">
        <v>2675000</v>
      </c>
      <c r="K3" s="18">
        <v>139006</v>
      </c>
      <c r="L3" s="18">
        <v>3582500</v>
      </c>
      <c r="M3" s="18">
        <v>4350000</v>
      </c>
      <c r="N3" s="18">
        <f>M3-L3-K3</f>
        <v>628494</v>
      </c>
    </row>
    <row r="4" spans="1:14" ht="19.95" customHeight="1" x14ac:dyDescent="0.3">
      <c r="A4" s="20" t="s">
        <v>341</v>
      </c>
      <c r="B4" s="31" t="s">
        <v>342</v>
      </c>
      <c r="C4" s="20" t="s">
        <v>304</v>
      </c>
      <c r="D4" s="22">
        <v>132.5</v>
      </c>
      <c r="E4" s="20" t="s">
        <v>340</v>
      </c>
      <c r="F4" s="24">
        <v>474681250</v>
      </c>
      <c r="G4" s="24">
        <v>10590725</v>
      </c>
      <c r="H4" s="24">
        <v>957048</v>
      </c>
      <c r="I4" s="24">
        <v>627785</v>
      </c>
      <c r="J4" s="24">
        <v>2675000</v>
      </c>
      <c r="K4" s="18">
        <v>139006</v>
      </c>
      <c r="L4" s="18">
        <v>3582500</v>
      </c>
      <c r="M4" s="24">
        <v>4350000</v>
      </c>
      <c r="N4" s="18">
        <f t="shared" ref="N4:N12" si="0">M4-L4-K4</f>
        <v>628494</v>
      </c>
    </row>
    <row r="5" spans="1:14" ht="19.95" customHeight="1" x14ac:dyDescent="0.3">
      <c r="A5" s="14" t="s">
        <v>343</v>
      </c>
      <c r="B5" s="30" t="s">
        <v>344</v>
      </c>
      <c r="C5" s="14" t="s">
        <v>304</v>
      </c>
      <c r="D5" s="16">
        <v>140</v>
      </c>
      <c r="E5" s="14" t="s">
        <v>340</v>
      </c>
      <c r="F5" s="18">
        <v>501550000</v>
      </c>
      <c r="G5" s="18">
        <v>11190200</v>
      </c>
      <c r="H5" s="18">
        <v>1011220</v>
      </c>
      <c r="I5" s="18">
        <v>663320</v>
      </c>
      <c r="J5" s="18">
        <v>2675000</v>
      </c>
      <c r="K5" s="18">
        <v>139006</v>
      </c>
      <c r="L5" s="18">
        <v>3582500</v>
      </c>
      <c r="M5" s="18">
        <v>4350000</v>
      </c>
      <c r="N5" s="18">
        <f t="shared" si="0"/>
        <v>628494</v>
      </c>
    </row>
    <row r="6" spans="1:14" ht="19.95" customHeight="1" x14ac:dyDescent="0.3">
      <c r="A6" s="20" t="s">
        <v>345</v>
      </c>
      <c r="B6" s="31" t="s">
        <v>346</v>
      </c>
      <c r="C6" s="20" t="s">
        <v>304</v>
      </c>
      <c r="D6" s="22">
        <v>140</v>
      </c>
      <c r="E6" s="20" t="s">
        <v>347</v>
      </c>
      <c r="F6" s="24">
        <v>501550000</v>
      </c>
      <c r="G6" s="24">
        <v>13342140</v>
      </c>
      <c r="H6" s="24">
        <v>1011220</v>
      </c>
      <c r="I6" s="24">
        <v>663320</v>
      </c>
      <c r="J6" s="24">
        <v>2675000</v>
      </c>
      <c r="K6" s="18">
        <v>139006</v>
      </c>
      <c r="L6" s="18">
        <v>3582500</v>
      </c>
      <c r="M6" s="24">
        <v>4350000</v>
      </c>
      <c r="N6" s="18">
        <f t="shared" si="0"/>
        <v>628494</v>
      </c>
    </row>
    <row r="7" spans="1:14" ht="19.95" customHeight="1" x14ac:dyDescent="0.3">
      <c r="A7" s="14" t="s">
        <v>348</v>
      </c>
      <c r="B7" s="30" t="s">
        <v>349</v>
      </c>
      <c r="C7" s="14" t="s">
        <v>304</v>
      </c>
      <c r="D7" s="16">
        <v>140</v>
      </c>
      <c r="E7" s="14" t="s">
        <v>340</v>
      </c>
      <c r="F7" s="18">
        <v>501550000</v>
      </c>
      <c r="G7" s="18">
        <v>11190200</v>
      </c>
      <c r="H7" s="18">
        <v>1011220</v>
      </c>
      <c r="I7" s="18">
        <v>663320</v>
      </c>
      <c r="J7" s="18">
        <v>2675000</v>
      </c>
      <c r="K7" s="18">
        <v>139006</v>
      </c>
      <c r="L7" s="18">
        <v>3582500</v>
      </c>
      <c r="M7" s="18">
        <v>4350000</v>
      </c>
      <c r="N7" s="18">
        <f t="shared" si="0"/>
        <v>628494</v>
      </c>
    </row>
    <row r="8" spans="1:14" ht="19.95" customHeight="1" x14ac:dyDescent="0.3">
      <c r="A8" s="20" t="s">
        <v>350</v>
      </c>
      <c r="B8" s="31" t="s">
        <v>351</v>
      </c>
      <c r="C8" s="20" t="s">
        <v>304</v>
      </c>
      <c r="D8" s="22">
        <v>140</v>
      </c>
      <c r="E8" s="20" t="s">
        <v>340</v>
      </c>
      <c r="F8" s="24">
        <v>501550000</v>
      </c>
      <c r="G8" s="24">
        <v>11190200</v>
      </c>
      <c r="H8" s="24">
        <v>1011220</v>
      </c>
      <c r="I8" s="24">
        <v>663320</v>
      </c>
      <c r="J8" s="24">
        <v>2675000</v>
      </c>
      <c r="K8" s="18">
        <v>139006</v>
      </c>
      <c r="L8" s="18">
        <v>3582500</v>
      </c>
      <c r="M8" s="24">
        <v>4350000</v>
      </c>
      <c r="N8" s="18">
        <f t="shared" si="0"/>
        <v>628494</v>
      </c>
    </row>
    <row r="9" spans="1:14" ht="19.95" customHeight="1" x14ac:dyDescent="0.3">
      <c r="A9" s="14" t="s">
        <v>352</v>
      </c>
      <c r="B9" s="30" t="s">
        <v>353</v>
      </c>
      <c r="C9" s="14" t="s">
        <v>304</v>
      </c>
      <c r="D9" s="16">
        <v>140</v>
      </c>
      <c r="E9" s="14" t="s">
        <v>340</v>
      </c>
      <c r="F9" s="18">
        <v>501550000</v>
      </c>
      <c r="G9" s="18">
        <v>11190200</v>
      </c>
      <c r="H9" s="18">
        <v>1011220</v>
      </c>
      <c r="I9" s="18">
        <v>663320</v>
      </c>
      <c r="J9" s="18">
        <v>2675000</v>
      </c>
      <c r="K9" s="18">
        <v>139006</v>
      </c>
      <c r="L9" s="18">
        <v>3582500</v>
      </c>
      <c r="M9" s="18">
        <v>4350000</v>
      </c>
      <c r="N9" s="18">
        <f t="shared" si="0"/>
        <v>628494</v>
      </c>
    </row>
    <row r="10" spans="1:14" ht="19.95" customHeight="1" x14ac:dyDescent="0.3">
      <c r="A10" s="20" t="s">
        <v>354</v>
      </c>
      <c r="B10" s="31" t="s">
        <v>355</v>
      </c>
      <c r="C10" s="20" t="s">
        <v>304</v>
      </c>
      <c r="D10" s="22">
        <v>140</v>
      </c>
      <c r="E10" s="20" t="s">
        <v>340</v>
      </c>
      <c r="F10" s="24">
        <v>501550000</v>
      </c>
      <c r="G10" s="24">
        <v>11190200</v>
      </c>
      <c r="H10" s="24">
        <v>1011220</v>
      </c>
      <c r="I10" s="24">
        <v>663320</v>
      </c>
      <c r="J10" s="24">
        <v>2675000</v>
      </c>
      <c r="K10" s="18">
        <v>139006</v>
      </c>
      <c r="L10" s="18">
        <v>3582500</v>
      </c>
      <c r="M10" s="24">
        <v>4350000</v>
      </c>
      <c r="N10" s="18">
        <f t="shared" si="0"/>
        <v>628494</v>
      </c>
    </row>
    <row r="11" spans="1:14" ht="19.95" customHeight="1" x14ac:dyDescent="0.3">
      <c r="A11" s="14" t="s">
        <v>356</v>
      </c>
      <c r="B11" s="30" t="s">
        <v>357</v>
      </c>
      <c r="C11" s="14" t="s">
        <v>304</v>
      </c>
      <c r="D11" s="16">
        <v>140</v>
      </c>
      <c r="E11" s="14" t="s">
        <v>340</v>
      </c>
      <c r="F11" s="18">
        <v>501550000</v>
      </c>
      <c r="G11" s="18">
        <v>11190200</v>
      </c>
      <c r="H11" s="18">
        <v>1011220</v>
      </c>
      <c r="I11" s="18">
        <v>663320</v>
      </c>
      <c r="J11" s="18">
        <v>2675000</v>
      </c>
      <c r="K11" s="18">
        <v>139006</v>
      </c>
      <c r="L11" s="18">
        <v>3582500</v>
      </c>
      <c r="M11" s="18">
        <v>4350000</v>
      </c>
      <c r="N11" s="18">
        <f t="shared" si="0"/>
        <v>628494</v>
      </c>
    </row>
    <row r="12" spans="1:14" ht="19.95" customHeight="1" x14ac:dyDescent="0.3">
      <c r="A12" s="20" t="s">
        <v>358</v>
      </c>
      <c r="B12" s="31" t="s">
        <v>359</v>
      </c>
      <c r="C12" s="20" t="s">
        <v>304</v>
      </c>
      <c r="D12" s="22">
        <v>140</v>
      </c>
      <c r="E12" s="20" t="s">
        <v>340</v>
      </c>
      <c r="F12" s="24">
        <v>501550000</v>
      </c>
      <c r="G12" s="24">
        <v>11190200</v>
      </c>
      <c r="H12" s="24">
        <v>1011220</v>
      </c>
      <c r="I12" s="24">
        <v>663320</v>
      </c>
      <c r="J12" s="24">
        <v>2675000</v>
      </c>
      <c r="K12" s="18">
        <v>139006</v>
      </c>
      <c r="L12" s="18">
        <v>3582500</v>
      </c>
      <c r="M12" s="24">
        <v>4350000</v>
      </c>
      <c r="N12" s="18">
        <f t="shared" si="0"/>
        <v>628494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12"/>
  <sheetViews>
    <sheetView topLeftCell="E1" workbookViewId="0">
      <pane ySplit="2" topLeftCell="A3" activePane="bottomLeft" state="frozen"/>
      <selection pane="bottomLeft" activeCell="J3" sqref="J3"/>
    </sheetView>
  </sheetViews>
  <sheetFormatPr defaultRowHeight="14.4" x14ac:dyDescent="0.3"/>
  <cols>
    <col min="1" max="1" width="18" customWidth="1"/>
    <col min="2" max="2" width="24" customWidth="1"/>
    <col min="3" max="3" width="60" customWidth="1"/>
    <col min="4" max="5" width="24" customWidth="1"/>
    <col min="6" max="6" width="15" customWidth="1"/>
    <col min="7" max="7" width="22" customWidth="1"/>
    <col min="8" max="8" width="28" customWidth="1"/>
    <col min="9" max="9" width="29" customWidth="1"/>
    <col min="10" max="10" width="30" customWidth="1"/>
    <col min="11" max="11" width="22" customWidth="1"/>
    <col min="12" max="12" width="58" customWidth="1"/>
  </cols>
  <sheetData>
    <row r="1" spans="1:12" ht="24" customHeight="1" x14ac:dyDescent="0.3">
      <c r="A1" s="13" t="s">
        <v>360</v>
      </c>
    </row>
    <row r="2" spans="1:12" ht="28.05" customHeight="1" x14ac:dyDescent="0.3">
      <c r="A2" s="3" t="s">
        <v>361</v>
      </c>
      <c r="B2" s="3" t="s">
        <v>362</v>
      </c>
      <c r="C2" s="3" t="s">
        <v>363</v>
      </c>
      <c r="D2" s="3" t="s">
        <v>364</v>
      </c>
      <c r="E2" s="3" t="s">
        <v>365</v>
      </c>
      <c r="F2" s="3" t="s">
        <v>366</v>
      </c>
      <c r="G2" s="3" t="s">
        <v>367</v>
      </c>
      <c r="H2" s="3" t="s">
        <v>368</v>
      </c>
      <c r="I2" s="3" t="s">
        <v>449</v>
      </c>
      <c r="J2" s="3" t="s">
        <v>369</v>
      </c>
      <c r="K2" s="3" t="s">
        <v>370</v>
      </c>
      <c r="L2" s="3" t="s">
        <v>371</v>
      </c>
    </row>
    <row r="3" spans="1:12" ht="19.95" customHeight="1" x14ac:dyDescent="0.3">
      <c r="A3" s="14" t="s">
        <v>372</v>
      </c>
      <c r="B3" s="14" t="s">
        <v>373</v>
      </c>
      <c r="C3" s="15" t="s">
        <v>374</v>
      </c>
      <c r="D3" s="26" t="s">
        <v>375</v>
      </c>
      <c r="E3" s="26" t="s">
        <v>376</v>
      </c>
      <c r="F3" s="16">
        <v>3.5</v>
      </c>
      <c r="G3" s="16">
        <v>70</v>
      </c>
      <c r="H3" s="18">
        <v>1337500</v>
      </c>
      <c r="I3" s="18">
        <f>F3*telemetri_produksi_scada!H3*master_bahan_baku!F11</f>
        <v>5513508</v>
      </c>
      <c r="J3" s="18">
        <f>G3*biaya_siklus_hpp!N3</f>
        <v>43994580</v>
      </c>
      <c r="K3" s="18">
        <f>SUM(H3:J3)</f>
        <v>50845588</v>
      </c>
      <c r="L3" s="15" t="s">
        <v>377</v>
      </c>
    </row>
    <row r="4" spans="1:12" ht="19.95" customHeight="1" x14ac:dyDescent="0.3">
      <c r="A4" s="20" t="s">
        <v>378</v>
      </c>
      <c r="B4" s="20" t="s">
        <v>379</v>
      </c>
      <c r="C4" s="21" t="s">
        <v>380</v>
      </c>
      <c r="D4" s="27" t="s">
        <v>381</v>
      </c>
      <c r="E4" s="27" t="s">
        <v>382</v>
      </c>
      <c r="F4" s="22">
        <v>2</v>
      </c>
      <c r="G4" s="22">
        <v>40</v>
      </c>
      <c r="H4" s="24">
        <v>764286</v>
      </c>
      <c r="I4" s="24">
        <f>F4*telemetri_produksi_scada!H4*master_bahan_baku!F11</f>
        <v>3198312</v>
      </c>
      <c r="J4" s="18">
        <f>G4*biaya_siklus_hpp!N4</f>
        <v>25139760</v>
      </c>
      <c r="K4" s="18">
        <f t="shared" ref="K4:K12" si="0">SUM(H4:J4)</f>
        <v>29102358</v>
      </c>
      <c r="L4" s="21" t="s">
        <v>383</v>
      </c>
    </row>
    <row r="5" spans="1:12" ht="19.95" customHeight="1" x14ac:dyDescent="0.3">
      <c r="A5" s="14" t="s">
        <v>384</v>
      </c>
      <c r="B5" s="14" t="s">
        <v>385</v>
      </c>
      <c r="C5" s="15" t="s">
        <v>386</v>
      </c>
      <c r="D5" s="26" t="s">
        <v>387</v>
      </c>
      <c r="E5" s="26" t="s">
        <v>388</v>
      </c>
      <c r="F5" s="16">
        <v>2.5</v>
      </c>
      <c r="G5" s="16">
        <v>50</v>
      </c>
      <c r="H5" s="18">
        <v>955357</v>
      </c>
      <c r="I5" s="18">
        <f>F5*telemetri_produksi_scada!H5*master_bahan_baku!F11</f>
        <v>3987945</v>
      </c>
      <c r="J5" s="18">
        <f>G5*biaya_siklus_hpp!N5</f>
        <v>31424700</v>
      </c>
      <c r="K5" s="18">
        <f t="shared" si="0"/>
        <v>36368002</v>
      </c>
      <c r="L5" s="15" t="s">
        <v>389</v>
      </c>
    </row>
    <row r="6" spans="1:12" ht="19.95" customHeight="1" x14ac:dyDescent="0.3">
      <c r="A6" s="20" t="s">
        <v>390</v>
      </c>
      <c r="B6" s="20" t="s">
        <v>379</v>
      </c>
      <c r="C6" s="21" t="s">
        <v>391</v>
      </c>
      <c r="D6" s="27" t="s">
        <v>392</v>
      </c>
      <c r="E6" s="27" t="s">
        <v>393</v>
      </c>
      <c r="F6" s="22">
        <v>1.5</v>
      </c>
      <c r="G6" s="22">
        <v>30</v>
      </c>
      <c r="H6" s="24">
        <v>573214</v>
      </c>
      <c r="I6" s="24">
        <f>F6*telemetri_produksi_scada!H6*master_bahan_baku!F12</f>
        <v>2874258</v>
      </c>
      <c r="J6" s="18">
        <f>G6*biaya_siklus_hpp!N6</f>
        <v>18854820</v>
      </c>
      <c r="K6" s="18">
        <f t="shared" si="0"/>
        <v>22302292</v>
      </c>
      <c r="L6" s="21" t="s">
        <v>394</v>
      </c>
    </row>
    <row r="7" spans="1:12" ht="19.95" customHeight="1" x14ac:dyDescent="0.3">
      <c r="A7" s="14" t="s">
        <v>395</v>
      </c>
      <c r="B7" s="14" t="s">
        <v>373</v>
      </c>
      <c r="C7" s="15" t="s">
        <v>396</v>
      </c>
      <c r="D7" s="26" t="s">
        <v>397</v>
      </c>
      <c r="E7" s="26" t="s">
        <v>398</v>
      </c>
      <c r="F7" s="16">
        <v>1.5</v>
      </c>
      <c r="G7" s="16">
        <v>30</v>
      </c>
      <c r="H7" s="18">
        <v>573214</v>
      </c>
      <c r="I7" s="18">
        <f>F7*telemetri_produksi_scada!H7*master_bahan_baku!F11</f>
        <v>2380833</v>
      </c>
      <c r="J7" s="18">
        <f>G7*biaya_siklus_hpp!N7</f>
        <v>18854820</v>
      </c>
      <c r="K7" s="18">
        <f t="shared" si="0"/>
        <v>21808867</v>
      </c>
      <c r="L7" s="15" t="s">
        <v>399</v>
      </c>
    </row>
    <row r="8" spans="1:12" ht="19.95" customHeight="1" x14ac:dyDescent="0.3">
      <c r="A8" s="20" t="s">
        <v>400</v>
      </c>
      <c r="B8" s="20" t="s">
        <v>379</v>
      </c>
      <c r="C8" s="21" t="s">
        <v>401</v>
      </c>
      <c r="D8" s="27" t="s">
        <v>402</v>
      </c>
      <c r="E8" s="27" t="s">
        <v>403</v>
      </c>
      <c r="F8" s="22">
        <v>0.75</v>
      </c>
      <c r="G8" s="22">
        <v>15</v>
      </c>
      <c r="H8" s="24">
        <v>286607</v>
      </c>
      <c r="I8" s="24">
        <f>F8*telemetri_produksi_scada!H8*master_bahan_baku!F11</f>
        <v>1175499</v>
      </c>
      <c r="J8" s="18">
        <f>G8*biaya_siklus_hpp!N8</f>
        <v>9427410</v>
      </c>
      <c r="K8" s="18">
        <f t="shared" si="0"/>
        <v>10889516</v>
      </c>
      <c r="L8" s="21" t="s">
        <v>404</v>
      </c>
    </row>
    <row r="9" spans="1:12" ht="19.95" customHeight="1" x14ac:dyDescent="0.3">
      <c r="A9" s="14" t="s">
        <v>405</v>
      </c>
      <c r="B9" s="14" t="s">
        <v>385</v>
      </c>
      <c r="C9" s="15" t="s">
        <v>406</v>
      </c>
      <c r="D9" s="26" t="s">
        <v>407</v>
      </c>
      <c r="E9" s="26" t="s">
        <v>408</v>
      </c>
      <c r="F9" s="16">
        <v>1</v>
      </c>
      <c r="G9" s="16">
        <v>20</v>
      </c>
      <c r="H9" s="18">
        <v>382143</v>
      </c>
      <c r="I9" s="18">
        <f>F9*telemetri_produksi_scada!H9*master_bahan_baku!F11</f>
        <v>1607112</v>
      </c>
      <c r="J9" s="18">
        <f>G9*biaya_siklus_hpp!N9</f>
        <v>12569880</v>
      </c>
      <c r="K9" s="18">
        <f t="shared" si="0"/>
        <v>14559135</v>
      </c>
      <c r="L9" s="15" t="s">
        <v>409</v>
      </c>
    </row>
    <row r="10" spans="1:12" ht="19.95" customHeight="1" x14ac:dyDescent="0.3">
      <c r="A10" s="20" t="s">
        <v>410</v>
      </c>
      <c r="B10" s="20" t="s">
        <v>373</v>
      </c>
      <c r="C10" s="21" t="s">
        <v>411</v>
      </c>
      <c r="D10" s="27" t="s">
        <v>412</v>
      </c>
      <c r="E10" s="27" t="s">
        <v>413</v>
      </c>
      <c r="F10" s="22">
        <v>2</v>
      </c>
      <c r="G10" s="22">
        <v>40</v>
      </c>
      <c r="H10" s="24">
        <v>764286</v>
      </c>
      <c r="I10" s="24">
        <f>F10*telemetri_produksi_scada!H10*master_bahan_baku!F11</f>
        <v>3158532</v>
      </c>
      <c r="J10" s="18">
        <f>G10*biaya_siklus_hpp!N10</f>
        <v>25139760</v>
      </c>
      <c r="K10" s="18">
        <f t="shared" si="0"/>
        <v>29062578</v>
      </c>
      <c r="L10" s="21" t="s">
        <v>414</v>
      </c>
    </row>
    <row r="11" spans="1:12" ht="19.95" customHeight="1" x14ac:dyDescent="0.3">
      <c r="A11" s="14" t="s">
        <v>415</v>
      </c>
      <c r="B11" s="14" t="s">
        <v>379</v>
      </c>
      <c r="C11" s="15" t="s">
        <v>416</v>
      </c>
      <c r="D11" s="26" t="s">
        <v>417</v>
      </c>
      <c r="E11" s="26" t="s">
        <v>418</v>
      </c>
      <c r="F11" s="16">
        <v>1</v>
      </c>
      <c r="G11" s="16">
        <v>20</v>
      </c>
      <c r="H11" s="18">
        <v>382143</v>
      </c>
      <c r="I11" s="18">
        <f>F11*telemetri_produksi_scada!H11*master_bahan_baku!F11</f>
        <v>1603134</v>
      </c>
      <c r="J11" s="18">
        <f>G11*biaya_siklus_hpp!N11</f>
        <v>12569880</v>
      </c>
      <c r="K11" s="18">
        <f t="shared" si="0"/>
        <v>14555157</v>
      </c>
      <c r="L11" s="15" t="s">
        <v>419</v>
      </c>
    </row>
    <row r="12" spans="1:12" ht="19.95" customHeight="1" x14ac:dyDescent="0.3">
      <c r="A12" s="20" t="s">
        <v>420</v>
      </c>
      <c r="B12" s="20" t="s">
        <v>373</v>
      </c>
      <c r="C12" s="21" t="s">
        <v>421</v>
      </c>
      <c r="D12" s="27" t="s">
        <v>422</v>
      </c>
      <c r="E12" s="27" t="s">
        <v>423</v>
      </c>
      <c r="F12" s="22">
        <v>2.5</v>
      </c>
      <c r="G12" s="22">
        <v>50</v>
      </c>
      <c r="H12" s="24">
        <v>955357</v>
      </c>
      <c r="I12" s="24">
        <f>F12*telemetri_produksi_scada!H12*master_bahan_baku!F11</f>
        <v>2486250</v>
      </c>
      <c r="J12" s="18">
        <f>G12*biaya_siklus_hpp!N12</f>
        <v>31424700</v>
      </c>
      <c r="K12" s="18">
        <f t="shared" si="0"/>
        <v>34866307</v>
      </c>
      <c r="L12" s="21" t="s">
        <v>424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12"/>
  <sheetViews>
    <sheetView workbookViewId="0">
      <pane ySplit="2" topLeftCell="A3" activePane="bottomLeft" state="frozen"/>
      <selection pane="bottomLeft" activeCell="D27" sqref="D27"/>
    </sheetView>
  </sheetViews>
  <sheetFormatPr defaultRowHeight="14.4" x14ac:dyDescent="0.3"/>
  <cols>
    <col min="1" max="1" width="17" customWidth="1"/>
    <col min="2" max="2" width="15" customWidth="1"/>
    <col min="3" max="3" width="28" customWidth="1"/>
    <col min="4" max="4" width="30" customWidth="1"/>
    <col min="5" max="5" width="22" customWidth="1"/>
    <col min="6" max="6" width="23" customWidth="1"/>
    <col min="7" max="7" width="22" customWidth="1"/>
    <col min="8" max="8" width="23" customWidth="1"/>
    <col min="9" max="9" width="28" customWidth="1"/>
    <col min="10" max="10" width="34" customWidth="1"/>
    <col min="11" max="11" width="25" customWidth="1"/>
    <col min="12" max="12" width="29" customWidth="1"/>
    <col min="13" max="13" width="26" customWidth="1"/>
  </cols>
  <sheetData>
    <row r="1" spans="1:13" ht="24" customHeight="1" x14ac:dyDescent="0.3">
      <c r="A1" s="13" t="s">
        <v>425</v>
      </c>
    </row>
    <row r="2" spans="1:13" ht="28.05" customHeight="1" x14ac:dyDescent="0.3">
      <c r="A2" s="3" t="s">
        <v>426</v>
      </c>
      <c r="B2" s="3" t="s">
        <v>427</v>
      </c>
      <c r="C2" s="3" t="s">
        <v>428</v>
      </c>
      <c r="D2" s="3" t="s">
        <v>429</v>
      </c>
      <c r="E2" s="3" t="s">
        <v>430</v>
      </c>
      <c r="F2" s="3" t="s">
        <v>431</v>
      </c>
      <c r="G2" s="3" t="s">
        <v>432</v>
      </c>
      <c r="H2" s="3" t="s">
        <v>433</v>
      </c>
      <c r="I2" s="3" t="s">
        <v>434</v>
      </c>
      <c r="J2" s="3" t="s">
        <v>435</v>
      </c>
      <c r="K2" s="3" t="s">
        <v>436</v>
      </c>
      <c r="L2" s="3" t="s">
        <v>437</v>
      </c>
      <c r="M2" s="3" t="s">
        <v>438</v>
      </c>
    </row>
    <row r="3" spans="1:13" ht="19.95" customHeight="1" x14ac:dyDescent="0.3">
      <c r="A3" s="14" t="s">
        <v>439</v>
      </c>
      <c r="B3" s="30" t="s">
        <v>339</v>
      </c>
      <c r="C3" s="16">
        <v>7</v>
      </c>
      <c r="D3" s="16">
        <v>140</v>
      </c>
      <c r="E3" s="16">
        <v>140</v>
      </c>
      <c r="F3" s="17">
        <v>100</v>
      </c>
      <c r="G3" s="19">
        <v>7</v>
      </c>
      <c r="H3" s="19">
        <v>5</v>
      </c>
      <c r="I3" s="18">
        <v>2151940</v>
      </c>
      <c r="J3" s="18">
        <v>0</v>
      </c>
      <c r="K3" s="18">
        <v>90355300</v>
      </c>
      <c r="L3" s="18">
        <v>45177650</v>
      </c>
      <c r="M3" s="17">
        <v>0.88</v>
      </c>
    </row>
    <row r="4" spans="1:13" ht="19.95" customHeight="1" x14ac:dyDescent="0.3">
      <c r="A4" s="20" t="s">
        <v>440</v>
      </c>
      <c r="B4" s="31" t="s">
        <v>342</v>
      </c>
      <c r="C4" s="22">
        <v>6.63</v>
      </c>
      <c r="D4" s="22">
        <v>132.5</v>
      </c>
      <c r="E4" s="22">
        <v>140</v>
      </c>
      <c r="F4" s="23">
        <v>94.64</v>
      </c>
      <c r="G4" s="25">
        <v>6</v>
      </c>
      <c r="H4" s="25">
        <v>5</v>
      </c>
      <c r="I4" s="24">
        <v>2036657</v>
      </c>
      <c r="J4" s="24">
        <v>46515150</v>
      </c>
      <c r="K4" s="24">
        <v>85516368</v>
      </c>
      <c r="L4" s="24">
        <v>87935834</v>
      </c>
      <c r="M4" s="23">
        <v>1.71</v>
      </c>
    </row>
    <row r="5" spans="1:13" ht="19.95" customHeight="1" x14ac:dyDescent="0.3">
      <c r="A5" s="14" t="s">
        <v>441</v>
      </c>
      <c r="B5" s="30" t="s">
        <v>344</v>
      </c>
      <c r="C5" s="16">
        <v>7</v>
      </c>
      <c r="D5" s="16">
        <v>140</v>
      </c>
      <c r="E5" s="16">
        <v>140</v>
      </c>
      <c r="F5" s="17">
        <v>100</v>
      </c>
      <c r="G5" s="19">
        <v>7</v>
      </c>
      <c r="H5" s="19">
        <v>5</v>
      </c>
      <c r="I5" s="18">
        <v>2151940</v>
      </c>
      <c r="J5" s="18">
        <v>43795476</v>
      </c>
      <c r="K5" s="18">
        <v>90355300</v>
      </c>
      <c r="L5" s="18">
        <v>133113484</v>
      </c>
      <c r="M5" s="17">
        <v>2.58</v>
      </c>
    </row>
    <row r="6" spans="1:13" ht="19.95" customHeight="1" x14ac:dyDescent="0.3">
      <c r="A6" s="20" t="s">
        <v>442</v>
      </c>
      <c r="B6" s="31" t="s">
        <v>346</v>
      </c>
      <c r="C6" s="22">
        <v>7</v>
      </c>
      <c r="D6" s="22">
        <v>140</v>
      </c>
      <c r="E6" s="22">
        <v>140</v>
      </c>
      <c r="F6" s="23">
        <v>100</v>
      </c>
      <c r="G6" s="25">
        <v>6</v>
      </c>
      <c r="H6" s="25">
        <v>5</v>
      </c>
      <c r="I6" s="24">
        <v>0</v>
      </c>
      <c r="J6" s="24">
        <v>53725107</v>
      </c>
      <c r="K6" s="24">
        <v>87989160</v>
      </c>
      <c r="L6" s="24">
        <v>177108064</v>
      </c>
      <c r="M6" s="23">
        <v>3.44</v>
      </c>
    </row>
    <row r="7" spans="1:13" ht="19.95" customHeight="1" x14ac:dyDescent="0.3">
      <c r="A7" s="14" t="s">
        <v>443</v>
      </c>
      <c r="B7" s="30" t="s">
        <v>349</v>
      </c>
      <c r="C7" s="16">
        <v>7</v>
      </c>
      <c r="D7" s="16">
        <v>140</v>
      </c>
      <c r="E7" s="16">
        <v>140</v>
      </c>
      <c r="F7" s="17">
        <v>100</v>
      </c>
      <c r="G7" s="19">
        <v>7</v>
      </c>
      <c r="H7" s="19">
        <v>5</v>
      </c>
      <c r="I7" s="18">
        <v>2151940</v>
      </c>
      <c r="J7" s="18">
        <v>37150454</v>
      </c>
      <c r="K7" s="18">
        <v>90355300</v>
      </c>
      <c r="L7" s="18">
        <v>222285714</v>
      </c>
      <c r="M7" s="17">
        <v>4.32</v>
      </c>
    </row>
    <row r="8" spans="1:13" ht="19.95" customHeight="1" x14ac:dyDescent="0.3">
      <c r="A8" s="20" t="s">
        <v>444</v>
      </c>
      <c r="B8" s="31" t="s">
        <v>351</v>
      </c>
      <c r="C8" s="22">
        <v>7</v>
      </c>
      <c r="D8" s="22">
        <v>140</v>
      </c>
      <c r="E8" s="22">
        <v>140</v>
      </c>
      <c r="F8" s="23">
        <v>100</v>
      </c>
      <c r="G8" s="25">
        <v>7</v>
      </c>
      <c r="H8" s="25">
        <v>5</v>
      </c>
      <c r="I8" s="24">
        <v>2151940</v>
      </c>
      <c r="J8" s="24">
        <v>19935064</v>
      </c>
      <c r="K8" s="24">
        <v>90355300</v>
      </c>
      <c r="L8" s="24">
        <v>267463364</v>
      </c>
      <c r="M8" s="23">
        <v>5.19</v>
      </c>
    </row>
    <row r="9" spans="1:13" ht="19.95" customHeight="1" x14ac:dyDescent="0.3">
      <c r="A9" s="14" t="s">
        <v>445</v>
      </c>
      <c r="B9" s="30" t="s">
        <v>353</v>
      </c>
      <c r="C9" s="16">
        <v>7</v>
      </c>
      <c r="D9" s="16">
        <v>140</v>
      </c>
      <c r="E9" s="16">
        <v>140</v>
      </c>
      <c r="F9" s="17">
        <v>100</v>
      </c>
      <c r="G9" s="19">
        <v>7</v>
      </c>
      <c r="H9" s="19">
        <v>5</v>
      </c>
      <c r="I9" s="18">
        <v>2151940</v>
      </c>
      <c r="J9" s="18">
        <v>18575227</v>
      </c>
      <c r="K9" s="18">
        <v>90355300</v>
      </c>
      <c r="L9" s="18">
        <v>312641014</v>
      </c>
      <c r="M9" s="17">
        <v>6.07</v>
      </c>
    </row>
    <row r="10" spans="1:13" ht="19.95" customHeight="1" x14ac:dyDescent="0.3">
      <c r="A10" s="20" t="s">
        <v>446</v>
      </c>
      <c r="B10" s="31" t="s">
        <v>355</v>
      </c>
      <c r="C10" s="22">
        <v>7</v>
      </c>
      <c r="D10" s="22">
        <v>140</v>
      </c>
      <c r="E10" s="22">
        <v>140</v>
      </c>
      <c r="F10" s="23">
        <v>100</v>
      </c>
      <c r="G10" s="25">
        <v>7</v>
      </c>
      <c r="H10" s="25">
        <v>5</v>
      </c>
      <c r="I10" s="24">
        <v>2151940</v>
      </c>
      <c r="J10" s="24">
        <v>30505433</v>
      </c>
      <c r="K10" s="24">
        <v>90355300</v>
      </c>
      <c r="L10" s="24">
        <v>357818664</v>
      </c>
      <c r="M10" s="23">
        <v>6.95</v>
      </c>
    </row>
    <row r="11" spans="1:13" ht="19.95" customHeight="1" x14ac:dyDescent="0.3">
      <c r="A11" s="14" t="s">
        <v>447</v>
      </c>
      <c r="B11" s="30" t="s">
        <v>357</v>
      </c>
      <c r="C11" s="16">
        <v>7</v>
      </c>
      <c r="D11" s="16">
        <v>140</v>
      </c>
      <c r="E11" s="16">
        <v>140</v>
      </c>
      <c r="F11" s="17">
        <v>100</v>
      </c>
      <c r="G11" s="19">
        <v>7</v>
      </c>
      <c r="H11" s="19">
        <v>5</v>
      </c>
      <c r="I11" s="18">
        <v>2151940</v>
      </c>
      <c r="J11" s="18">
        <v>26580086</v>
      </c>
      <c r="K11" s="18">
        <v>90355300</v>
      </c>
      <c r="L11" s="18">
        <v>402996314</v>
      </c>
      <c r="M11" s="17">
        <v>7.83</v>
      </c>
    </row>
    <row r="12" spans="1:13" ht="19.95" customHeight="1" x14ac:dyDescent="0.3">
      <c r="A12" s="20" t="s">
        <v>448</v>
      </c>
      <c r="B12" s="31" t="s">
        <v>359</v>
      </c>
      <c r="C12" s="22">
        <v>7</v>
      </c>
      <c r="D12" s="22">
        <v>140</v>
      </c>
      <c r="E12" s="22">
        <v>140</v>
      </c>
      <c r="F12" s="23">
        <v>100</v>
      </c>
      <c r="G12" s="25">
        <v>7</v>
      </c>
      <c r="H12" s="25">
        <v>5</v>
      </c>
      <c r="I12" s="24">
        <v>2151940</v>
      </c>
      <c r="J12" s="24">
        <v>21897738</v>
      </c>
      <c r="K12" s="24">
        <v>90355300</v>
      </c>
      <c r="L12" s="24">
        <v>448173964</v>
      </c>
      <c r="M12" s="23">
        <v>8.6999999999999993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Daftar &amp; Kamus Data</vt:lpstr>
      <vt:lpstr>master_bahan_baku</vt:lpstr>
      <vt:lpstr>master_fasilitas_storage</vt:lpstr>
      <vt:lpstr>log_logistik_inbound</vt:lpstr>
      <vt:lpstr>log_logistik_outbound</vt:lpstr>
      <vt:lpstr>telemetri_produksi_scada</vt:lpstr>
      <vt:lpstr>biaya_siklus_hpp</vt:lpstr>
      <vt:lpstr>insiden_downtime_bottleneck</vt:lpstr>
      <vt:lpstr>rekap_kinerja_eksekutif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am87827@gmail.com</cp:lastModifiedBy>
  <dcterms:created xsi:type="dcterms:W3CDTF">2026-10-06T13:15:07Z</dcterms:created>
  <dcterms:modified xsi:type="dcterms:W3CDTF">2026-10-07T14:19:43Z</dcterms:modified>
</cp:coreProperties>
</file>