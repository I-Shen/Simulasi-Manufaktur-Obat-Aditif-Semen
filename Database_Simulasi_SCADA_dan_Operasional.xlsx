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roject Pak Heru\"/>
    </mc:Choice>
  </mc:AlternateContent>
  <xr:revisionPtr revIDLastSave="0" documentId="13_ncr:1_{1C208982-A3D3-4923-9CE6-29BCCC80F98E}" xr6:coauthVersionLast="47" xr6:coauthVersionMax="47" xr10:uidLastSave="{00000000-0000-0000-0000-000000000000}"/>
  <bookViews>
    <workbookView xWindow="-108" yWindow="-108" windowWidth="23256" windowHeight="13896" firstSheet="3" activeTab="6" xr2:uid="{00000000-000D-0000-FFFF-FFFF00000000}"/>
  </bookViews>
  <sheets>
    <sheet name="Daftar &amp; Kamus Data" sheetId="1" r:id="rId1"/>
    <sheet name="master_bahan_baku" sheetId="2" r:id="rId2"/>
    <sheet name="master_fasilitas_storage" sheetId="3" r:id="rId3"/>
    <sheet name="log_logistik_inbound" sheetId="4" r:id="rId4"/>
    <sheet name="log_logistik_outbound" sheetId="5" r:id="rId5"/>
    <sheet name="telemetri_produksi_scada" sheetId="6" r:id="rId6"/>
    <sheet name="biaya_siklus_hpp" sheetId="7" r:id="rId7"/>
    <sheet name="insiden_downtime_bottleneck" sheetId="8" r:id="rId8"/>
    <sheet name="rekap_kinerja_eksekutif" sheetId="9" r:id="rId9"/>
    <sheet name="simulasi_skenario_demand_range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2" i="7" l="1"/>
  <c r="B20" i="10"/>
  <c r="E20" i="10" s="1"/>
  <c r="B19" i="10"/>
  <c r="H19" i="10" s="1"/>
  <c r="B18" i="10"/>
  <c r="F18" i="10" s="1"/>
  <c r="B17" i="10"/>
  <c r="H17" i="10" s="1"/>
  <c r="B16" i="10"/>
  <c r="C16" i="10" s="1"/>
  <c r="B15" i="10"/>
  <c r="L15" i="10" s="1"/>
  <c r="P11" i="10"/>
  <c r="O11" i="10"/>
  <c r="N11" i="10"/>
  <c r="L11" i="10"/>
  <c r="K11" i="10"/>
  <c r="J11" i="10"/>
  <c r="I11" i="10"/>
  <c r="G11" i="10"/>
  <c r="F11" i="10"/>
  <c r="P10" i="10"/>
  <c r="N10" i="10"/>
  <c r="L10" i="10"/>
  <c r="K10" i="10"/>
  <c r="I10" i="10"/>
  <c r="O10" i="10" s="1"/>
  <c r="G10" i="10"/>
  <c r="F10" i="10"/>
  <c r="P9" i="10"/>
  <c r="O9" i="10"/>
  <c r="N9" i="10"/>
  <c r="L9" i="10"/>
  <c r="K9" i="10"/>
  <c r="J9" i="10"/>
  <c r="I9" i="10"/>
  <c r="G9" i="10"/>
  <c r="F9" i="10"/>
  <c r="P8" i="10"/>
  <c r="N8" i="10"/>
  <c r="L8" i="10"/>
  <c r="K8" i="10"/>
  <c r="I8" i="10"/>
  <c r="O8" i="10" s="1"/>
  <c r="G8" i="10"/>
  <c r="F8" i="10"/>
  <c r="P7" i="10"/>
  <c r="O7" i="10"/>
  <c r="N7" i="10"/>
  <c r="L7" i="10"/>
  <c r="K7" i="10"/>
  <c r="I7" i="10"/>
  <c r="J7" i="10" s="1"/>
  <c r="G7" i="10"/>
  <c r="F7" i="10"/>
  <c r="P6" i="10"/>
  <c r="N6" i="10"/>
  <c r="L6" i="10"/>
  <c r="K6" i="10"/>
  <c r="I6" i="10"/>
  <c r="O6" i="10" s="1"/>
  <c r="G6" i="10"/>
  <c r="F6" i="10"/>
  <c r="N4" i="7"/>
  <c r="J4" i="8" s="1"/>
  <c r="N5" i="7"/>
  <c r="J5" i="8" s="1"/>
  <c r="N6" i="7"/>
  <c r="J6" i="8" s="1"/>
  <c r="K6" i="8" s="1"/>
  <c r="N7" i="7"/>
  <c r="J7" i="8" s="1"/>
  <c r="N8" i="7"/>
  <c r="J8" i="8" s="1"/>
  <c r="N9" i="7"/>
  <c r="J9" i="8" s="1"/>
  <c r="K9" i="8" s="1"/>
  <c r="N10" i="7"/>
  <c r="J10" i="8" s="1"/>
  <c r="N11" i="7"/>
  <c r="J11" i="8" s="1"/>
  <c r="J12" i="8"/>
  <c r="N3" i="7"/>
  <c r="J3" i="8" s="1"/>
  <c r="I3" i="8"/>
  <c r="I12" i="8"/>
  <c r="I11" i="8"/>
  <c r="I10" i="8"/>
  <c r="I9" i="8"/>
  <c r="I8" i="8"/>
  <c r="I7" i="8"/>
  <c r="I6" i="8"/>
  <c r="I5" i="8"/>
  <c r="I4" i="8"/>
  <c r="K10" i="8" l="1"/>
  <c r="K8" i="8"/>
  <c r="K7" i="8"/>
  <c r="K5" i="8"/>
  <c r="K4" i="8"/>
  <c r="K3" i="8"/>
  <c r="K12" i="8"/>
  <c r="K11" i="8"/>
  <c r="J6" i="10"/>
  <c r="F20" i="10"/>
  <c r="C15" i="10"/>
  <c r="D15" i="10"/>
  <c r="E16" i="10"/>
  <c r="I16" i="10" s="1"/>
  <c r="F17" i="10"/>
  <c r="H18" i="10"/>
  <c r="C19" i="10"/>
  <c r="F19" i="10"/>
  <c r="L20" i="10"/>
  <c r="C18" i="10"/>
  <c r="I18" i="10" s="1"/>
  <c r="C17" i="10"/>
  <c r="H20" i="10"/>
  <c r="J10" i="10"/>
  <c r="D16" i="10"/>
  <c r="F16" i="10"/>
  <c r="F15" i="10"/>
  <c r="H16" i="10"/>
  <c r="L19" i="10"/>
  <c r="D20" i="10"/>
  <c r="D19" i="10"/>
  <c r="J8" i="10"/>
  <c r="D18" i="10"/>
  <c r="E18" i="10"/>
  <c r="E17" i="10"/>
  <c r="H15" i="10"/>
  <c r="L18" i="10"/>
  <c r="C20" i="10"/>
  <c r="E19" i="10"/>
  <c r="D17" i="10"/>
  <c r="L17" i="10"/>
  <c r="L16" i="10"/>
  <c r="E15" i="10"/>
  <c r="R16" i="10" l="1"/>
  <c r="J16" i="10"/>
  <c r="P16" i="10"/>
  <c r="Q16" i="10"/>
  <c r="I20" i="10"/>
  <c r="P18" i="10"/>
  <c r="R18" i="10"/>
  <c r="J18" i="10"/>
  <c r="Q18" i="10"/>
  <c r="I17" i="10"/>
  <c r="M18" i="10"/>
  <c r="M20" i="10"/>
  <c r="I19" i="10"/>
  <c r="M19" i="10"/>
  <c r="I15" i="10"/>
  <c r="M16" i="10"/>
  <c r="N16" i="10" l="1"/>
  <c r="O16" i="10"/>
  <c r="O20" i="10"/>
  <c r="N20" i="10"/>
  <c r="R15" i="10"/>
  <c r="J15" i="10"/>
  <c r="Q15" i="10"/>
  <c r="P15" i="10"/>
  <c r="M15" i="10"/>
  <c r="O19" i="10"/>
  <c r="N19" i="10"/>
  <c r="Q19" i="10"/>
  <c r="P19" i="10"/>
  <c r="J19" i="10"/>
  <c r="R19" i="10"/>
  <c r="O18" i="10"/>
  <c r="N18" i="10"/>
  <c r="J17" i="10"/>
  <c r="Q17" i="10"/>
  <c r="P17" i="10"/>
  <c r="R17" i="10"/>
  <c r="R20" i="10"/>
  <c r="Q20" i="10"/>
  <c r="P20" i="10"/>
  <c r="J20" i="10"/>
  <c r="M17" i="10"/>
  <c r="O17" i="10" l="1"/>
  <c r="N17" i="10"/>
  <c r="O15" i="10"/>
  <c r="N15" i="10"/>
</calcChain>
</file>

<file path=xl/sharedStrings.xml><?xml version="1.0" encoding="utf-8"?>
<sst xmlns="http://schemas.openxmlformats.org/spreadsheetml/2006/main" count="848" uniqueCount="648">
  <si>
    <t>DATABASE OPERASIONAL &amp; TELEMETRI SCADA</t>
  </si>
  <si>
    <t>PT. Pionir Nusantara Sukses - Bulk Mixing &amp; Drying Plant (20 Ton/Jam)</t>
  </si>
  <si>
    <t>No</t>
  </si>
  <si>
    <t>Nama Tabel</t>
  </si>
  <si>
    <t>Kategori Entitas</t>
  </si>
  <si>
    <t>Jumlah Kolom</t>
  </si>
  <si>
    <t>Jumlah Data</t>
  </si>
  <si>
    <t>Deskripsi Fungsional</t>
  </si>
  <si>
    <t>master_bahan_baku</t>
  </si>
  <si>
    <t>Master Reference</t>
  </si>
  <si>
    <t>Katalog bahan baku, densitas ruah (Bulk Density), formulasi (80:15:5), harga beli &amp; safety stock.</t>
  </si>
  <si>
    <t>master_fasilitas_storage</t>
  </si>
  <si>
    <t>Spesifikasi fisik stockpile (134.4T &amp; 120.96T), tangki aditif, rotary dryer, dan Bin Silo 72 m³.</t>
  </si>
  <si>
    <t>log_logistik_inbound</t>
  </si>
  <si>
    <t>Transactional Fact</t>
  </si>
  <si>
    <t>Pencatatan ritase truk tronton bahan mentah masuk (@ 30T), jembatan timbang, dan alokasi bay stockpile.</t>
  </si>
  <si>
    <t>log_logistik_outbound</t>
  </si>
  <si>
    <t>Pencatatan pengiriman truk produk jadi dari Bin Silo (ritme 2 jam), surat jalan, dan buffer level.</t>
  </si>
  <si>
    <t>telemetri_produksi_scada</t>
  </si>
  <si>
    <t>Time-Series Telemetry</t>
  </si>
  <si>
    <t>Data sensor SCADA per jam: Tonase output (target 20 T/h), suhu rotary dryer (°C), MMBTU gas, dan kWh PLN.</t>
  </si>
  <si>
    <t>biaya_siklus_hpp</t>
  </si>
  <si>
    <t>Financial Analytics</t>
  </si>
  <si>
    <t>Kalkulasi biaya per shift: Bahan baku, komparasi energi PGN vs CNG, listrik, solar forklift, SDM &amp; HPP/Ton.</t>
  </si>
  <si>
    <t>insiden_downtime_bottleneck</t>
  </si>
  <si>
    <t>Incident &amp; Loss Fact</t>
  </si>
  <si>
    <t>Pencatatan kejadian bottleneck (Truk Macet, Mesin Rusak, Lampu Mati), biaya SDM menganggur, penalti burner &amp; lost margin.</t>
  </si>
  <si>
    <t>rekap_kinerja_eksekutif</t>
  </si>
  <si>
    <t>Executive KPI Summary</t>
  </si>
  <si>
    <t>KPI harian Direksi: Output kumulatif, capaian target shift (140T), efisiensi PGN bulanan, kerugian harian, dan progres BEP Capex Rp 5.15 M.</t>
  </si>
  <si>
    <t>PARAMETER BENCHMARK TEKNIS &amp; FINANSIAL PABRIK (EXCEL AUDIT):</t>
  </si>
  <si>
    <t>Kapasitas Desain Pabrik</t>
  </si>
  <si>
    <t>20.00 Ton / Jam (140.00 Ton per shift 7 jam)</t>
  </si>
  <si>
    <t>Target Bulanan</t>
  </si>
  <si>
    <t>3,500.00 Ton (25 Hari Kerja) s.d. 4,200.00 Ton (30 Hari Kerja)</t>
  </si>
  <si>
    <t>Komposisi Formulasi</t>
  </si>
  <si>
    <t>80% Bentonite (BJ 0.8) | 15% Calsium Carbonate (BJ 2.8) | 5% Soda Ash (BJ 1.13)</t>
  </si>
  <si>
    <t>Daya Tampung Stockpile 1 (Bentonite)</t>
  </si>
  <si>
    <t>134.40 Ton (Habis dalam 8.40 Jam Operasi Penuh jika pasokan terputus)</t>
  </si>
  <si>
    <t>Daya Tampung Stockpile 2 (Calsium)</t>
  </si>
  <si>
    <t>120.96 Ton (Habis dalam 40.32 Jam Operasi Penuh)</t>
  </si>
  <si>
    <t>Kapasitas Bin Silo Produk Akhir</t>
  </si>
  <si>
    <t>72.00 m³ (65.58 s.d. 86.40 Ton) -&gt; Buffer holding time: 3.28 s.d. 4.32 Jam</t>
  </si>
  <si>
    <t>Ritme Pengiriman Produk Jadi</t>
  </si>
  <si>
    <t>Wajib loading truk (@ 30 Ton) setiap 2 jam sekali agar Silo tidak meluap</t>
  </si>
  <si>
    <t>Disparitas Energi PGN vs CNG</t>
  </si>
  <si>
    <t>PGN $13.00/MMBTU (Rp 79,930/t) vs CNG $15.15/MMBTU (Rp 95,301/t) -&gt; Hemat Rp 53.8 Juta/Bulan</t>
  </si>
  <si>
    <t>Biaya Investasi Awal (Capex)</t>
  </si>
  <si>
    <t>Rp 5,150,000,000 (Target Balik Modal BEP: 4.7 s.d. 12.3 Bulan)</t>
  </si>
  <si>
    <t>Beban SDM Shift Menganggur</t>
  </si>
  <si>
    <t>Rp 382,143 per jam downtime (Alokasi 10 personil operasional = Rp 66,875,000/bulan)</t>
  </si>
  <si>
    <t>TABEL: MASTER_BAHAN_BAKU</t>
  </si>
  <si>
    <t>id_bahan</t>
  </si>
  <si>
    <t>nama_bahan</t>
  </si>
  <si>
    <t>kategori</t>
  </si>
  <si>
    <t>bulk_density_t_m3</t>
  </si>
  <si>
    <t>persentase_formula_pct</t>
  </si>
  <si>
    <t>harga_satuan_rp_kg</t>
  </si>
  <si>
    <t>satuan_standar</t>
  </si>
  <si>
    <t>safety_stock_ton</t>
  </si>
  <si>
    <t>lead_time_hari</t>
  </si>
  <si>
    <t>supplier_utama</t>
  </si>
  <si>
    <t>RM-BEN-01</t>
  </si>
  <si>
    <t>Bentonite Clay Curah</t>
  </si>
  <si>
    <t>Bahan Baku Utama</t>
  </si>
  <si>
    <t>Kg</t>
  </si>
  <si>
    <t>PT. Indo Mineral Resources</t>
  </si>
  <si>
    <t>RM-CAL-02</t>
  </si>
  <si>
    <t>Calsium Carbonate (CaCO3)</t>
  </si>
  <si>
    <t>PT. Padalarang Kalsium Nusantara</t>
  </si>
  <si>
    <t>RM-SDA-03</t>
  </si>
  <si>
    <t>Soda Ash Dense (Na2CO3)</t>
  </si>
  <si>
    <t>Aditif Aktivasi</t>
  </si>
  <si>
    <t>PT. Solvay Alkali Indonesia</t>
  </si>
  <si>
    <t>RM-SDAL-04</t>
  </si>
  <si>
    <t>Soda Ash Light</t>
  </si>
  <si>
    <t>Aditif Alternatif</t>
  </si>
  <si>
    <t>PT. Kimia Aditif Pratama</t>
  </si>
  <si>
    <t>RM-QCK-05</t>
  </si>
  <si>
    <t>Quicklime (CaO Active)</t>
  </si>
  <si>
    <t>Aditif Stabilizer</t>
  </si>
  <si>
    <t>PT. Gamping Mas Sejahtera</t>
  </si>
  <si>
    <t>RM-KAO-06</t>
  </si>
  <si>
    <t>Kaolin Powder</t>
  </si>
  <si>
    <t>Binder Sekunder</t>
  </si>
  <si>
    <t>PT. Kaolin Bumi Sriwijaya</t>
  </si>
  <si>
    <t>PK-JMB-07</t>
  </si>
  <si>
    <t>Jumbo Bag 1 Ton Polypropylene</t>
  </si>
  <si>
    <t>Kemasan</t>
  </si>
  <si>
    <t>Pcs</t>
  </si>
  <si>
    <t>PT. Polychem Kemas Lestari</t>
  </si>
  <si>
    <t>PK-PLT-08</t>
  </si>
  <si>
    <t>Palet Kayu ISPM 15 Standar</t>
  </si>
  <si>
    <t>Penyangga</t>
  </si>
  <si>
    <t>PT. Palet Kreasi Mandiri</t>
  </si>
  <si>
    <t>EN-PGN-09</t>
  </si>
  <si>
    <t>Gas Alam Pipa (PGN $13/MMBTU)</t>
  </si>
  <si>
    <t>Energi Burner</t>
  </si>
  <si>
    <t>MMBTU</t>
  </si>
  <si>
    <t>PT. Perusahaan Gas Negara</t>
  </si>
  <si>
    <t>EN-CNG-10</t>
  </si>
  <si>
    <t>Compressed Natural Gas ($15.15)</t>
  </si>
  <si>
    <t>Energi Cadangan</t>
  </si>
  <si>
    <t>PT. CNG Hilir Utama</t>
  </si>
  <si>
    <t>TABEL: MASTER_FASILITAS_STORAGE</t>
  </si>
  <si>
    <t>id_fasilitas</t>
  </si>
  <si>
    <t>nama_fasilitas</t>
  </si>
  <si>
    <t>tipe_aset</t>
  </si>
  <si>
    <t>dimensi_pxlxt_m</t>
  </si>
  <si>
    <t>volume_m3</t>
  </si>
  <si>
    <t>kapasitas_maks_ton</t>
  </si>
  <si>
    <t>buffer_time_jam</t>
  </si>
  <si>
    <t>lokasi_plant</t>
  </si>
  <si>
    <t>daya_listrik_kw</t>
  </si>
  <si>
    <t>status_operasional</t>
  </si>
  <si>
    <t>ST-SP-01</t>
  </si>
  <si>
    <t>Stockpile 1 (Bentonite Curah)</t>
  </si>
  <si>
    <t>Stockpile Yard</t>
  </si>
  <si>
    <t>18 x 6 x 3</t>
  </si>
  <si>
    <t>Yard Utara (Bay 1)</t>
  </si>
  <si>
    <t>Aktif</t>
  </si>
  <si>
    <t>ST-SP-02</t>
  </si>
  <si>
    <t>Stockpile 2 (Calsium Curah)</t>
  </si>
  <si>
    <t>6 x 6 x 3</t>
  </si>
  <si>
    <t>Yard Utara (Bay 2)</t>
  </si>
  <si>
    <t>ST-TK-03</t>
  </si>
  <si>
    <t>Tangki Dosing Soda Ash</t>
  </si>
  <si>
    <t>Dosing Tank</t>
  </si>
  <si>
    <t>Dia 3 x 4</t>
  </si>
  <si>
    <t>Batching Plant Area</t>
  </si>
  <si>
    <t>EQ-FL-01</t>
  </si>
  <si>
    <t>Forklift Diesel Komatsu 3 Ton</t>
  </si>
  <si>
    <t>Transport Unit</t>
  </si>
  <si>
    <t>3.5 x 1.2 x 2.1</t>
  </si>
  <si>
    <t>Yard ke Hopper</t>
  </si>
  <si>
    <t>EQ-HP-01</t>
  </si>
  <si>
    <t>Hopper &amp; Weight Feeder</t>
  </si>
  <si>
    <t>Continuous Feeder</t>
  </si>
  <si>
    <t>4 x 3 x 3.5</t>
  </si>
  <si>
    <t>Lantai Feeding</t>
  </si>
  <si>
    <t>EQ-RD-01</t>
  </si>
  <si>
    <t>Rotary Drum Dryer 20 T/h</t>
  </si>
  <si>
    <t>Reaktor Pengering</t>
  </si>
  <si>
    <t>18 x Dia 2.5</t>
  </si>
  <si>
    <t>Furnace Area</t>
  </si>
  <si>
    <t>EQ-BN-01</t>
  </si>
  <si>
    <t>Dual-Fuel Burner (PGN/CNG)</t>
  </si>
  <si>
    <t>Pemanas Burner</t>
  </si>
  <si>
    <t>2 x 1.5 x 1.5</t>
  </si>
  <si>
    <t>Ruang Pembakaran</t>
  </si>
  <si>
    <t>EQ-CV-01</t>
  </si>
  <si>
    <t>Conveyor Belt System (1-4)</t>
  </si>
  <si>
    <t>Belt Conveyor</t>
  </si>
  <si>
    <t>45 x 0.8 x 0.5</t>
  </si>
  <si>
    <t>Jalur Dryer-Silo</t>
  </si>
  <si>
    <t>ST-SL-01</t>
  </si>
  <si>
    <t>Bin Silo Produk Akhir</t>
  </si>
  <si>
    <t>Storage Silo</t>
  </si>
  <si>
    <t>Dia 4 x 6</t>
  </si>
  <si>
    <t>Outbound Loading Bay</t>
  </si>
  <si>
    <t>EQ-WB-01</t>
  </si>
  <si>
    <t>Jembatan Timbang Truk 60 Ton</t>
  </si>
  <si>
    <t>Timbangan</t>
  </si>
  <si>
    <t>16 x 3.2 x 0.5</t>
  </si>
  <si>
    <t>Pintu Gerbang Utama</t>
  </si>
  <si>
    <t>TABEL: LOG_LOGISTIK_INBOUND</t>
  </si>
  <si>
    <t>id_inbound</t>
  </si>
  <si>
    <t>no_surat_jalan</t>
  </si>
  <si>
    <t>no_polisi_truk</t>
  </si>
  <si>
    <t>nama_transporter</t>
  </si>
  <si>
    <t>waktu_timbang_masuk</t>
  </si>
  <si>
    <t>waktu_selesai_bongkar</t>
  </si>
  <si>
    <t>berat_bruto_kg</t>
  </si>
  <si>
    <t>berat_tara_kg</t>
  </si>
  <si>
    <t>berat_netto_ton</t>
  </si>
  <si>
    <t>id_fasilitas_tujuan</t>
  </si>
  <si>
    <t>status_qc</t>
  </si>
  <si>
    <t>INB-261001-01</t>
  </si>
  <si>
    <t>SJ-IMR-88901</t>
  </si>
  <si>
    <t>B 9421 UYT</t>
  </si>
  <si>
    <t>PT. Lintas Logistik Prima</t>
  </si>
  <si>
    <t>2026-10-01 06:15:00</t>
  </si>
  <si>
    <t>2026-10-01 07:05:00</t>
  </si>
  <si>
    <t>PASSED</t>
  </si>
  <si>
    <t>INB-261001-02</t>
  </si>
  <si>
    <t>SJ-IMR-88902</t>
  </si>
  <si>
    <t>B 9112 PKO</t>
  </si>
  <si>
    <t>2026-10-01 07:45:00</t>
  </si>
  <si>
    <t>2026-10-01 08:30:00</t>
  </si>
  <si>
    <t>INB-261001-03</t>
  </si>
  <si>
    <t>SJ-PKN-45120</t>
  </si>
  <si>
    <t>D 9833 KLA</t>
  </si>
  <si>
    <t>CV. Sumber Kalsium Abadi</t>
  </si>
  <si>
    <t>2026-10-01 09:20:00</t>
  </si>
  <si>
    <t>INB-261001-04</t>
  </si>
  <si>
    <t>SJ-IMR-88903</t>
  </si>
  <si>
    <t>B 9554 TYA</t>
  </si>
  <si>
    <t>2026-10-01 09:40:00</t>
  </si>
  <si>
    <t>2026-10-01 10:25:00</t>
  </si>
  <si>
    <t>INB-261001-05</t>
  </si>
  <si>
    <t>SJ-SOL-11029</t>
  </si>
  <si>
    <t>L 8120 UVY</t>
  </si>
  <si>
    <t>PT. Samudera Kimia Trans</t>
  </si>
  <si>
    <t>2026-10-01 10:15:00</t>
  </si>
  <si>
    <t>2026-10-01 11:00:00</t>
  </si>
  <si>
    <t>INB-261001-06</t>
  </si>
  <si>
    <t>SJ-IMR-88904</t>
  </si>
  <si>
    <t>B 9230 ZXT</t>
  </si>
  <si>
    <t>2026-10-01 11:30:00</t>
  </si>
  <si>
    <t>2026-10-01 12:20:00</t>
  </si>
  <si>
    <t>INB-261001-07</t>
  </si>
  <si>
    <t>SJ-IMR-88905</t>
  </si>
  <si>
    <t>B 9771 MNQ</t>
  </si>
  <si>
    <t>2026-10-01 13:15:00</t>
  </si>
  <si>
    <t>2026-10-01 14:05:00</t>
  </si>
  <si>
    <t>INB-261002-01</t>
  </si>
  <si>
    <t>SJ-IMR-88910</t>
  </si>
  <si>
    <t>2026-10-02 06:20:00</t>
  </si>
  <si>
    <t>2026-10-02 07:10:00</t>
  </si>
  <si>
    <t>INB-261002-02</t>
  </si>
  <si>
    <t>SJ-IMR-88911</t>
  </si>
  <si>
    <t>2026-10-02 07:50:00</t>
  </si>
  <si>
    <t>2026-10-02 08:35:00</t>
  </si>
  <si>
    <t>INB-261002-03</t>
  </si>
  <si>
    <t>SJ-IMR-88912</t>
  </si>
  <si>
    <t>2026-10-02 09:30:00</t>
  </si>
  <si>
    <t>2026-10-02 10:15:00</t>
  </si>
  <si>
    <t>TABEL: LOG_LOGISTIK_OUTBOUND</t>
  </si>
  <si>
    <t>id_outbound</t>
  </si>
  <si>
    <t>no_surat_jalan_out</t>
  </si>
  <si>
    <t>nama_customer</t>
  </si>
  <si>
    <t>id_fasilitas_asal</t>
  </si>
  <si>
    <t>waktu_mulai_loading</t>
  </si>
  <si>
    <t>waktu_selesai_dispatch</t>
  </si>
  <si>
    <t>level_silo_sebelum_ton</t>
  </si>
  <si>
    <t>tonase_keluar_ton</t>
  </si>
  <si>
    <t>level_silo_sesudah_ton</t>
  </si>
  <si>
    <t>tipe_pengiriman</t>
  </si>
  <si>
    <t>status_pengiriman</t>
  </si>
  <si>
    <t>OUT-261001-01</t>
  </si>
  <si>
    <t>SJ-OUT-1001</t>
  </si>
  <si>
    <t>PT. Semen Nusantara Utama</t>
  </si>
  <si>
    <t>L 9921 AB</t>
  </si>
  <si>
    <t>2026-10-01 09:05:00</t>
  </si>
  <si>
    <t>Bulk Silo Truck</t>
  </si>
  <si>
    <t>DISPATCHED</t>
  </si>
  <si>
    <t>OUT-261001-02</t>
  </si>
  <si>
    <t>SJ-OUT-1002</t>
  </si>
  <si>
    <t>PT. Pengecoran Logam Perkasa</t>
  </si>
  <si>
    <t>B 9340 TYU</t>
  </si>
  <si>
    <t>2026-10-01 10:30:00</t>
  </si>
  <si>
    <t>OUT-261001-03</t>
  </si>
  <si>
    <t>SJ-OUT-1003</t>
  </si>
  <si>
    <t>PT. Geoteknik Fondasi Mandiri</t>
  </si>
  <si>
    <t>W 8820 PO</t>
  </si>
  <si>
    <t>2026-10-01 12:30:00</t>
  </si>
  <si>
    <t>2026-10-01 13:05:00</t>
  </si>
  <si>
    <t>OUT-261001-04</t>
  </si>
  <si>
    <t>SJ-OUT-1004</t>
  </si>
  <si>
    <t>N 9122 JK</t>
  </si>
  <si>
    <t>2026-10-01 14:30:00</t>
  </si>
  <si>
    <t>2026-10-01 15:00:00</t>
  </si>
  <si>
    <t>OUT-261001-05</t>
  </si>
  <si>
    <t>SJ-OUT-1005</t>
  </si>
  <si>
    <t>2026-10-01 16:00:00</t>
  </si>
  <si>
    <t>2026-10-01 16:30:00</t>
  </si>
  <si>
    <t>OUT-261002-01</t>
  </si>
  <si>
    <t>SJ-OUT-1006</t>
  </si>
  <si>
    <t>2026-10-02 08:30:00</t>
  </si>
  <si>
    <t>2026-10-02 09:00:00</t>
  </si>
  <si>
    <t>OUT-261002-02</t>
  </si>
  <si>
    <t>SJ-OUT-1007</t>
  </si>
  <si>
    <t>2026-10-02 10:30:00</t>
  </si>
  <si>
    <t>2026-10-02 11:05:00</t>
  </si>
  <si>
    <t>OUT-261002-03</t>
  </si>
  <si>
    <t>SJ-OUT-1008</t>
  </si>
  <si>
    <t>2026-10-02 12:30:00</t>
  </si>
  <si>
    <t>2026-10-02 13:00:00</t>
  </si>
  <si>
    <t>OUT-261002-04</t>
  </si>
  <si>
    <t>SJ-OUT-1009</t>
  </si>
  <si>
    <t>PT. Agro Kimia Perkasa</t>
  </si>
  <si>
    <t>AG 8221 UI</t>
  </si>
  <si>
    <t>2026-10-02 14:30:00</t>
  </si>
  <si>
    <t>2026-10-02 15:10:00</t>
  </si>
  <si>
    <t>Jumbo Bag 1T</t>
  </si>
  <si>
    <t>OUT-261002-05</t>
  </si>
  <si>
    <t>SJ-OUT-1010</t>
  </si>
  <si>
    <t>2026-10-02 16:15:00</t>
  </si>
  <si>
    <t>2026-10-02 16:45:00</t>
  </si>
  <si>
    <t>TABEL: TELEMETRI_PRODUKSI_SCADA</t>
  </si>
  <si>
    <t>id_telemetri</t>
  </si>
  <si>
    <t>timestamp_record</t>
  </si>
  <si>
    <t>shift_kerja</t>
  </si>
  <si>
    <t>target_kapasitas_ton_jam</t>
  </si>
  <si>
    <t>aktual_output_ton_jam</t>
  </si>
  <si>
    <t>temp_rotary_dryer_c</t>
  </si>
  <si>
    <t>burner_flame_intensity_pct</t>
  </si>
  <si>
    <t>konsumsi_gas_mmbtu_jam</t>
  </si>
  <si>
    <t>konsumsi_listrik_kwh</t>
  </si>
  <si>
    <t>conveyor_speed_m_s</t>
  </si>
  <si>
    <t>vibrating_screen_status</t>
  </si>
  <si>
    <t>kondisi_scada</t>
  </si>
  <si>
    <t>SC-261001-07</t>
  </si>
  <si>
    <t>2026-10-01 07:00:00</t>
  </si>
  <si>
    <t>Shift 1</t>
  </si>
  <si>
    <t>NORMAL</t>
  </si>
  <si>
    <t>RUNNING</t>
  </si>
  <si>
    <t>SC-261001-08</t>
  </si>
  <si>
    <t>2026-10-01 08:00:00</t>
  </si>
  <si>
    <t>SC-261001-09</t>
  </si>
  <si>
    <t>2026-10-01 09:00:00</t>
  </si>
  <si>
    <t>SC-261001-10</t>
  </si>
  <si>
    <t>2026-10-01 10:00:00</t>
  </si>
  <si>
    <t>SC-261001-11</t>
  </si>
  <si>
    <t>SC-261001-12</t>
  </si>
  <si>
    <t>2026-10-01 12:00:00</t>
  </si>
  <si>
    <t>SC-261001-13</t>
  </si>
  <si>
    <t>2026-10-01 13:00:00</t>
  </si>
  <si>
    <t>SC-261002-07</t>
  </si>
  <si>
    <t>2026-10-02 07:00:00</t>
  </si>
  <si>
    <t>SC-261002-08</t>
  </si>
  <si>
    <t>2026-10-02 08:00:00</t>
  </si>
  <si>
    <t>SC-261002-09</t>
  </si>
  <si>
    <t>WARNING</t>
  </si>
  <si>
    <t>BOTTLENECK</t>
  </si>
  <si>
    <t>TABEL: BIAYA_SIKLUS_HPP</t>
  </si>
  <si>
    <t>id_biaya_siklus</t>
  </si>
  <si>
    <t>tanggal_siklus</t>
  </si>
  <si>
    <t>output_tonase_ton</t>
  </si>
  <si>
    <t>jenis_energi_aktif</t>
  </si>
  <si>
    <t>biaya_raw_material_rp</t>
  </si>
  <si>
    <t>biaya_bahan_bakar_rp</t>
  </si>
  <si>
    <t>biaya_listrik_pln_rp</t>
  </si>
  <si>
    <t>biaya_forklift_solar_rp</t>
  </si>
  <si>
    <t>alokasi_sdm_rp</t>
  </si>
  <si>
    <t>total_hpp_per_ton_rp</t>
  </si>
  <si>
    <t>harga_jual_per_ton_rp</t>
  </si>
  <si>
    <t>gross_margin_per_ton_rp</t>
  </si>
  <si>
    <t>CST-261001-01</t>
  </si>
  <si>
    <t>2026-10-01</t>
  </si>
  <si>
    <t>PGN</t>
  </si>
  <si>
    <t>CST-261002-01</t>
  </si>
  <si>
    <t>2026-10-02</t>
  </si>
  <si>
    <t>CST-261003-01</t>
  </si>
  <si>
    <t>2026-10-03</t>
  </si>
  <si>
    <t>CST-261004-01</t>
  </si>
  <si>
    <t>2026-10-04</t>
  </si>
  <si>
    <t>CNG</t>
  </si>
  <si>
    <t>CST-261005-01</t>
  </si>
  <si>
    <t>2026-10-05</t>
  </si>
  <si>
    <t>CST-261006-01</t>
  </si>
  <si>
    <t>2026-10-06</t>
  </si>
  <si>
    <t>CST-261007-01</t>
  </si>
  <si>
    <t>2026-10-07</t>
  </si>
  <si>
    <t>CST-261008-01</t>
  </si>
  <si>
    <t>2026-10-08</t>
  </si>
  <si>
    <t>CST-261009-01</t>
  </si>
  <si>
    <t>2026-10-09</t>
  </si>
  <si>
    <t>CST-261010-01</t>
  </si>
  <si>
    <t>2026-10-10</t>
  </si>
  <si>
    <t>TABEL: INSIDEN_DOWNTIME_BOTTLENECK</t>
  </si>
  <si>
    <t>id_insiden</t>
  </si>
  <si>
    <t>kategori_bottleneck</t>
  </si>
  <si>
    <t>deskripsi_kejadian</t>
  </si>
  <si>
    <t>waktu_mulai</t>
  </si>
  <si>
    <t>waktu_selesai</t>
  </si>
  <si>
    <t>durasi_jam</t>
  </si>
  <si>
    <t>output_hilang_ton</t>
  </si>
  <si>
    <t>biaya_sdm_menganggur_rp</t>
  </si>
  <si>
    <t>kehilangan_laba_margin_rp</t>
  </si>
  <si>
    <t>total_kerugian_rp</t>
  </si>
  <si>
    <t>tindakan_perbaikan</t>
  </si>
  <si>
    <t>DWT-261002-01</t>
  </si>
  <si>
    <t>Truk Macet</t>
  </si>
  <si>
    <t>Keterlambatan Truk Bentonite (Macet Tol Cikampek KM 52)</t>
  </si>
  <si>
    <t>2026-10-02 09:15:00</t>
  </si>
  <si>
    <t>2026-10-02 12:45:00</t>
  </si>
  <si>
    <t>Pengalihan rute armada &amp; koordinasi buffer stockpile</t>
  </si>
  <si>
    <t>DWT-261003-02</t>
  </si>
  <si>
    <t>Mesin Rusak</t>
  </si>
  <si>
    <t>Bearing Roll Rotary Dryer Overheat (Suhu 245°C)</t>
  </si>
  <si>
    <t>2026-10-03 13:00:00</t>
  </si>
  <si>
    <t>2026-10-03 15:00:00</t>
  </si>
  <si>
    <t>Penggantian bearing darurat &amp; re-greasing suhu tinggi</t>
  </si>
  <si>
    <t>DWT-261004-01</t>
  </si>
  <si>
    <t>Lampu Mati</t>
  </si>
  <si>
    <t>Pemadaman Gardu Induk PLN (Trip Trafo 125 kVA)</t>
  </si>
  <si>
    <t>2026-10-04 10:20:00</t>
  </si>
  <si>
    <t>2026-10-04 12:50:00</t>
  </si>
  <si>
    <t>Sinkronisasi genset darurat &amp; reset panel starter</t>
  </si>
  <si>
    <t>DWT-261005-01</t>
  </si>
  <si>
    <t>Belt Conveyor 2 Robek Terkena Benda Tajam</t>
  </si>
  <si>
    <t>2026-10-05 08:30:00</t>
  </si>
  <si>
    <t>2026-10-05 10:00:00</t>
  </si>
  <si>
    <t>Penyambungan belt mechanical joint fast-lock</t>
  </si>
  <si>
    <t>DWT-261006-01</t>
  </si>
  <si>
    <t>Antrean Timbang Pelabuhan Tanjung Perak Padat</t>
  </si>
  <si>
    <t>2026-10-06 14:00:00</t>
  </si>
  <si>
    <t>2026-10-06 15:30:00</t>
  </si>
  <si>
    <t>Dispatch armada cadangan dari depo penyangga</t>
  </si>
  <si>
    <t>DWT-261007-01</t>
  </si>
  <si>
    <t>Sensor Flame Detector Burner PGN Kotor/Error</t>
  </si>
  <si>
    <t>2026-10-07 11:15:00</t>
  </si>
  <si>
    <t>2026-10-07 12:00:00</t>
  </si>
  <si>
    <t>Pembersihan probe sensor UV &amp; kalibrasi ulang</t>
  </si>
  <si>
    <t>DWT-261008-01</t>
  </si>
  <si>
    <t>Fluktuasi Tegangan PLN Drop (Under-voltage Trip)</t>
  </si>
  <si>
    <t>2026-10-08 09:00:00</t>
  </si>
  <si>
    <t>2026-10-08 10:00:00</t>
  </si>
  <si>
    <t>Penyetelan relai proteksi voltage stabilizer</t>
  </si>
  <si>
    <t>DWT-261009-01</t>
  </si>
  <si>
    <t>Truk Pengangkut Silo Rusak di Gerbang Timbang</t>
  </si>
  <si>
    <t>2026-10-09 13:30:00</t>
  </si>
  <si>
    <t>2026-10-09 15:30:00</t>
  </si>
  <si>
    <t>Penarikan kendaraan derek &amp; buka jalur darurat</t>
  </si>
  <si>
    <t>DWT-261010-01</t>
  </si>
  <si>
    <t>Vibrating Screen Choked (Penyumbatan Gumpalan)</t>
  </si>
  <si>
    <t>2026-10-10 10:45:00</t>
  </si>
  <si>
    <t>2026-10-10 11:45:00</t>
  </si>
  <si>
    <t>Pembersihan wire mesh screen &amp; kontrol kadar air</t>
  </si>
  <si>
    <t>DWT-261011-01</t>
  </si>
  <si>
    <t>Kendala Administrasi DO Soda Ash di Gudang Transit</t>
  </si>
  <si>
    <t>2026-10-11 08:00:00</t>
  </si>
  <si>
    <t>2026-10-11 10:30:00</t>
  </si>
  <si>
    <t>Percepatan kliring digital &amp; pinjam buffer lokal</t>
  </si>
  <si>
    <t>TABEL: REKAP_KINERJA_EKSEKUTIF</t>
  </si>
  <si>
    <t>id_rekap_kpi</t>
  </si>
  <si>
    <t>tanggal</t>
  </si>
  <si>
    <t>jam_operasional_efektif</t>
  </si>
  <si>
    <t>total_output_produksi_ton</t>
  </si>
  <si>
    <t>target_harian_ton</t>
  </si>
  <si>
    <t>capaian_target_pct</t>
  </si>
  <si>
    <t>total_rit_inbound</t>
  </si>
  <si>
    <t>total_rit_outbound</t>
  </si>
  <si>
    <t>efisiensi_pgn_vs_cng_rp</t>
  </si>
  <si>
    <t>kerugian_downtime_hari_ini_rp</t>
  </si>
  <si>
    <t>laba_kotor_harian_rp</t>
  </si>
  <si>
    <t>kumulatif_laba_bersih_rp</t>
  </si>
  <si>
    <t>progres_bep_capex_pct</t>
  </si>
  <si>
    <t>KPI-261001</t>
  </si>
  <si>
    <t>KPI-261002</t>
  </si>
  <si>
    <t>KPI-261003</t>
  </si>
  <si>
    <t>KPI-261004</t>
  </si>
  <si>
    <t>KPI-261005</t>
  </si>
  <si>
    <t>KPI-261006</t>
  </si>
  <si>
    <t>KPI-261007</t>
  </si>
  <si>
    <t>KPI-261008</t>
  </si>
  <si>
    <t>KPI-261009</t>
  </si>
  <si>
    <t>KPI-261010</t>
  </si>
  <si>
    <t>bahan_bakar_terbuang_rp</t>
  </si>
  <si>
    <t>biaya_maintenance_per_ton_rp</t>
  </si>
  <si>
    <t>SIMULASI RENTANG DEMAND, KAPASITAS LOGISTIK TRUK, FINANSIAL, &amp; DINAMIKA INDUSTRI LOKAL</t>
  </si>
  <si>
    <t>PT. MINERAL ADITIF NUSANTARA — Model Simulasi Dinamis Rentang Output (80T - 420T/Hari), 6 Skenario Lonjakan Permintaan Swasta &amp; Megaproyek Pemerintah</t>
  </si>
  <si>
    <t>BAGIAN 1: MATRIKS 6 SKENARIO RENTANG DEMAND &amp; KEBUTUHAN LOGISTIK TRUK (@ 30 TON)</t>
  </si>
  <si>
    <t>Kode Skenario</t>
  </si>
  <si>
    <t>Nama Skenario Permintaan</t>
  </si>
  <si>
    <t>Tipe Operasional / Shift</t>
  </si>
  <si>
    <t>Jam Kerja Efektif</t>
  </si>
  <si>
    <t>Output Harian (Ton)</t>
  </si>
  <si>
    <t>Output Bulanan (25 Hari)</t>
  </si>
  <si>
    <t>Rit Truk Outbound (@30T)</t>
  </si>
  <si>
    <t>Rit Dibulatkan Outbound</t>
  </si>
  <si>
    <t>Bentonite 80% (Ton)</t>
  </si>
  <si>
    <t>Rit Truk Inbound Bentonite</t>
  </si>
  <si>
    <t>Calsium 15% (Ton)</t>
  </si>
  <si>
    <t>Soda Ash 5% (Ton)</t>
  </si>
  <si>
    <t>Total Rit Inbound/Hari</t>
  </si>
  <si>
    <t>Total Lalu Lintas Truk/Hari</t>
  </si>
  <si>
    <t>Ketahanan Stockpile Bentonite (Jam)</t>
  </si>
  <si>
    <t>Buffer Holding Time Silo (Jam)</t>
  </si>
  <si>
    <t>Status Risiko Logistik &amp; Buffer</t>
  </si>
  <si>
    <t>SCN-01</t>
  </si>
  <si>
    <t>Low Demand (Pasar Kontraksi / Retail Turun)</t>
  </si>
  <si>
    <t>0.5 Shift (Setengah Hari)</t>
  </si>
  <si>
    <t>Sangat Aman (Turnover Lambat)</t>
  </si>
  <si>
    <t>SCN-02</t>
  </si>
  <si>
    <t>Normal Baseline (Standar 1 Shift Eksisting)</t>
  </si>
  <si>
    <t>1 Shift Reguler (08:30-16:30)</t>
  </si>
  <si>
    <t>Ideal &amp; Stabil (Ekuilibrium Pabrik)</t>
  </si>
  <si>
    <t>SCN-03</t>
  </si>
  <si>
    <t>High Commercial Surge (Lonjakan Swasta / Q2-Q3)</t>
  </si>
  <si>
    <t>1 Shift + Lembur Maksimal 3 Jam</t>
  </si>
  <si>
    <t>Moderat (Wajib Jadwal Ketat Truk)</t>
  </si>
  <si>
    <t>SCN-04</t>
  </si>
  <si>
    <t>Corporate Multiplier (Tender Swasta Besar / 2x)</t>
  </si>
  <si>
    <t>2 Shift Penuh (07:00-23:00)</t>
  </si>
  <si>
    <t>Ketat (Stockpile Habis dlm 4,2 Jam)</t>
  </si>
  <si>
    <t>SCN-05</t>
  </si>
  <si>
    <t>Massive Peak Tender (Proyek BUMN Karya / 2.5x)</t>
  </si>
  <si>
    <t>2 Shift Panjang + 4 Jam Lembur</t>
  </si>
  <si>
    <t>Tinggi (Jembatan Timbang Non-Stop)</t>
  </si>
  <si>
    <t>SCN-06</t>
  </si>
  <si>
    <t>Government Megaproject Surge (PSN / IKN 24 Jam)</t>
  </si>
  <si>
    <t>3 Shift Kontinu (24 Jam Non-Stop)</t>
  </si>
  <si>
    <t>Kritis &amp; Ekstrem (Wajib Jumbo Bag Buffer)</t>
  </si>
  <si>
    <t>BAGIAN 2: STRUKTUR HPP, OMZET, LABA KOTOR, DAN KEBUTUHAN MODAL KERJA CASH FLOW (TOP 30, 60, 90 HARI)</t>
  </si>
  <si>
    <t>Output Harian</t>
  </si>
  <si>
    <t>Biaya Raw Material</t>
  </si>
  <si>
    <t>Biaya Gas PGN</t>
  </si>
  <si>
    <t>Biaya Listrik PLN</t>
  </si>
  <si>
    <t>Biaya Solar Forklift</t>
  </si>
  <si>
    <t>Alokasi SDM / Hari</t>
  </si>
  <si>
    <t>Biaya Maintenance</t>
  </si>
  <si>
    <t>Total Biaya Harian (HPP)</t>
  </si>
  <si>
    <t>HPP per Ton</t>
  </si>
  <si>
    <t>Harga Jual per Ton</t>
  </si>
  <si>
    <t>Omzet Penjualan Harian</t>
  </si>
  <si>
    <t>Laba Kotor Harian</t>
  </si>
  <si>
    <t>Gross Margin Pct</t>
  </si>
  <si>
    <t>Laba Kotor Bulanan (25H)</t>
  </si>
  <si>
    <t>Kebutuhan Modal Kerja (TOP 30H - Swasta)</t>
  </si>
  <si>
    <t>Kebutuhan Modal Kerja (TOP 60H - BUMN Menengah)</t>
  </si>
  <si>
    <t>Kebutuhan Modal Kerja (TOP 90H - Tender Pemerintah)</t>
  </si>
  <si>
    <t>BAGIAN 3: ANALISIS DINAMIKA INDUSTRI LOKAL INDONESIA &amp; STRATEGI MITIGASI RISIKO OPERASIONAL</t>
  </si>
  <si>
    <t>Faktor Dinamika Lokal</t>
  </si>
  <si>
    <t>Deskripsi Kejadian Riil di Lapangan</t>
  </si>
  <si>
    <t>Dampak Langsung ke SCADA / Plant</t>
  </si>
  <si>
    <t>Sensitivitas Angka / Batasan</t>
  </si>
  <si>
    <t>Skenario Terdampak</t>
  </si>
  <si>
    <t>SOP &amp; Strategi Mitigasi Teruji</t>
  </si>
  <si>
    <t>Regulasi Jam Masuk Truk &amp; Jalur Tol Arteri</t>
  </si>
  <si>
    <t>Pembatasan truk sumbu 3 / tronton di jalan tol &amp; arteri pada jam sibuk (06:00-09:00 &amp; 16:00-19:00 WIB) serta larangan angkutan barang saat libur Nataru dan Lebaran oleh Kemenhub.</t>
  </si>
  <si>
    <t>Truk bahan mentah tertahan di luar area industri, menyebabkan stockpile bentonite menipis mendadak di tengah produksi.</t>
  </si>
  <si>
    <t>Buffer stockpile bentonite (134,4 T) hanya bertahan 4,0 s.d. 8,4 jam operasional saat pabrik digeber penuh.</t>
  </si>
  <si>
    <t>SCN-03 s.d. SCN-06</t>
  </si>
  <si>
    <t>Jadwal penerimaan inbound digeser ke malam hari (22:00 - 05:00 WIB) menggunakan sistem reservasi barcode logistik terpadu.</t>
  </si>
  <si>
    <t>Penegakan Kebijakan Zero ODOL (Over Dimension Over Load)</t>
  </si>
  <si>
    <t>Penertiban jembatan timbang Kemenhub secara ketat membatasi muatan bersih truk tronton maksimal 30 Ton netto per ritase.</t>
  </si>
  <si>
    <t>Pabrik tidak dapat memadatkan muatan menjadi 40-45 Ton/truk. Frekuensi armada truk di jalan raya wajib meningkat drastis.</t>
  </si>
  <si>
    <t>Butuh 14 rit truk outbound + 15 rit inbound per hari pada Skenario 6 (Total 29 rit truk melintas di jembatan timbang internal).</t>
  </si>
  <si>
    <t>SCN-04, SCN-05, SCN-06</t>
  </si>
  <si>
    <t>Kemitraan multi-transporter (minimal 3 konsorsium ekspedisi terverifikasi) dan standardisasi jembatan timbang internal EQ-WB-01.</t>
  </si>
  <si>
    <t>Fluktuasi Cuaca Musim Hujan (Wet Season Tambang Open Pit)</t>
  </si>
  <si>
    <t>Tambang bentonite di Pulau Jawa merupakan tambang terbuka (open-pit). Saat musim hujan (Okt-Mar), kadar air (moisture) bahan mentah melonjak dari 18% ke 32-35%.</t>
  </si>
  <si>
    <t>Beban termal rotary dryer naik signifikan, konsumsi gas PGN naik 15-20%, serta risiko penyumbatan (choked) pada vibrating screen &amp; conveyor.</t>
  </si>
  <si>
    <t>Konsumsi PGN naik dari 6,8 MMBTU/jam ke 8,2 MMBTU/jam (Tambahan beban gas ~Rp 1,5 Juta - Rp 2,2 Juta/hari).</t>
  </si>
  <si>
    <t>Semua Skenario (SCN-01 s.d. SCN-06)</t>
  </si>
  <si>
    <t>Pemasangan atap terpal kanopi ganda di Stockpile Yard 1 &amp; 2 serta kontrol suhu burner otomatis modulasi SCADA.</t>
  </si>
  <si>
    <t>Keterbatasan Buffer Bin Silo (72 m³ / 86,4 T) &amp; Bottleneck Bay</t>
  </si>
  <si>
    <t>Bin Silo produk akhir hanya memiliki volume 72 m³. Pada kapasitas puncak 420 Ton/hari, silo penuh hanya dalam waktu 4,1 jam jika truk tangki terlambat merapat.</t>
  </si>
  <si>
    <t>Silo blockage high-level alarm menyala, memaksa rotary dryer dimatikan darurat (risiko bahan bakar terbuang &amp; reheat burner Rp 17,2 - 20,5 Juta).</t>
  </si>
  <si>
    <t>Loading bay harus melayani 1 rit truk tangki curah (30 Ton) setiap 85 s.d. 90 menit tanpa jeda sedikit pun.</t>
  </si>
  <si>
    <t>Penerapan sistem Staging Buffer Jumbo Bag 1 Ton (PK-JMB-07) di gudang samping dengan kapasitas buffer darurat 200 Ton.</t>
  </si>
  <si>
    <t>Term of Payment (TOP) Pengadaan Pemerintah &amp; BUMN Karya (60-90 Hari)</t>
  </si>
  <si>
    <t>Proyek infrastruktur pemerintah (KemenPUPR, IKN, BUMN Karya) memiliki siklus pencairan 60 s.d. 90 hari setelah BAST dan verifikasi laboratorium terbit.</t>
  </si>
  <si>
    <t>Cash flow gap: Pembelian bahan baku tunai/tempo 14 hari dan tagihan gas PGN jatuh tempo tgl 20, sedangkan piutang tertahan puluhan miliar rupiah.</t>
  </si>
  <si>
    <t>Kebutuhan modal kerja mencapai Rp 61 Miliar (SCN-04) hingga Rp 144,1 Miliar (SCN-06) per siklus 90 hari pemesanan masif.</t>
  </si>
  <si>
    <t>Mewajibkan Down Payment (DP) tender 20-30%, memanfaatkan fasilitas perbankan Supply Chain Financing (SCF) / SKBDN, dan negosiasi tempo tambang.</t>
  </si>
  <si>
    <t>Regulasi Ketenagakerjaan (Batas Lembur &amp; Skema Multi-Shift)</t>
  </si>
  <si>
    <t>UU Cipta Kerja No. 11/2020 &amp; PP 35/2021 membatasi kerja lembur maksimal 4 jam/hari dan 18 jam/minggu untuk melindungi K3 operator.</t>
  </si>
  <si>
    <t>Operasional di atas 10 jam kerja per hari TIDAK BOLEH hanya mengandalkan lembur 1 shift, melainkan WAJIB membuka Shift 2 atau Shift 3.</t>
  </si>
  <si>
    <t>Biaya SDM naik dari Rp 2,67 Juta/hari (1 Shift) menjadi Rp 5,61 Juta (2 Shift) dan Rp 9,84 Juta (3 Shift 4 regu rotasi).</t>
  </si>
  <si>
    <t>Rekrutmen tenaga kerja musiman bersertifikasi K3 dan penerapan skema roster kerja 3 shift 4 regu rotasi (siklus 6 hari kerja 2 hari off).</t>
  </si>
  <si>
    <t>Stres Termal &amp; Keausan Mekis Mesin Rotary Drum Dryer Kontinu</t>
  </si>
  <si>
    <t>Rotary Dryer berputar pada suhu 220°C. Operasional terus menerus 21 jam/hari menyebabkan keausan bearing roll dan pemuaian refractory brick furnace.</t>
  </si>
  <si>
    <t>Risiko breakdown fatal akibat bearing overheat jika tidak ada jeda pendinginan dan pelumasan teratur.</t>
  </si>
  <si>
    <t>Kehilangan output 20 Ton/jam dan biaya downtime mekanis hingga puluhan juta rupiah.</t>
  </si>
  <si>
    <t>SCN-05, SCN-06</t>
  </si>
  <si>
    <t>Menyisakan jeda 3 jam per hari (1 jam per pergantian shift) untuk inspeksi thermal gun, re-greasing suhu tinggi, dan pembersihan filter baghouse.</t>
  </si>
  <si>
    <t>Keterbatasan Ketersediaan Truk Ekspedisi Pihak Ketiga (3PL Deficit)</t>
  </si>
  <si>
    <t>Pada bulan-bulan puncak proyek konstruksi nasional, permintaan truk tronton tangki dan bak curah di pasar logistik lokal melonjak drastis.</t>
  </si>
  <si>
    <t>Kelangkaan armada truk sewa yang siap melayani ritase harian tepat waktu.</t>
  </si>
  <si>
    <t>Terjadi penumpukan produk jadi di silo pabrik dan denda penalti keterlambatan pengiriman ke lokasi proyek pemerintah.</t>
  </si>
  <si>
    <t>Menjalin kontrak eksklusif jangka panjang (Dedicated Fleet SLA) dengan 3 perusahaan logistik berbeda dengan jaminan denda penggantian armada.</t>
  </si>
  <si>
    <t>BAGIAN 4: SIMULASI JADWAL DISPATCH LOGISTIK PEAK DAY (TIMELINE PER JAM: 07:00 - 23:00 WIB)</t>
  </si>
  <si>
    <t>Jam (WIB)</t>
  </si>
  <si>
    <t>Status Operasional SCADA</t>
  </si>
  <si>
    <t>Inbound Truk Masuk (Bahan)</t>
  </si>
  <si>
    <t>Outbound Truk Keluar (Produk)</t>
  </si>
  <si>
    <t>Tonase Masuk (T)</t>
  </si>
  <si>
    <t>Tonase Keluar (T)</t>
  </si>
  <si>
    <t>Level Stockpile Bentonite (T)</t>
  </si>
  <si>
    <t>Level Bin Silo (T)</t>
  </si>
  <si>
    <t>Aktivitas Jembatan Timbang EQ-WB-01</t>
  </si>
  <si>
    <t>Catatan Kontrol Logistik</t>
  </si>
  <si>
    <t>07:00 - 08:00</t>
  </si>
  <si>
    <t>Shift 1 Start / Preheating Burner</t>
  </si>
  <si>
    <t>Truk Inbound 1 (Bentonite)</t>
  </si>
  <si>
    <t>-</t>
  </si>
  <si>
    <t>Timbang Masuk Inbound 1</t>
  </si>
  <si>
    <t>Stok awal bentonite 100T terisi truk malam</t>
  </si>
  <si>
    <t>08:00 - 09:00</t>
  </si>
  <si>
    <t>Produksi Aktif (20 Ton/Jam)</t>
  </si>
  <si>
    <t>Truk Inbound 2 (Bentonite)</t>
  </si>
  <si>
    <t>Truk Outbound 1 (30 Ton)</t>
  </si>
  <si>
    <t>Timbang Inbound 2 &amp; Outbound 1</t>
  </si>
  <si>
    <t>Ritme loading tangki produk pertama lancar</t>
  </si>
  <si>
    <t>09:00 - 10:00</t>
  </si>
  <si>
    <t>Truk Inbound 3 (Calsium)</t>
  </si>
  <si>
    <t>Timbang Inbound 3 (Calsium)</t>
  </si>
  <si>
    <t>Calsium dibongkar di Stockpile Bay 2</t>
  </si>
  <si>
    <t>10:00 - 11:00</t>
  </si>
  <si>
    <t>Truk Inbound 4 (Bentonite)</t>
  </si>
  <si>
    <t>Truk Outbound 2 (30 Ton)</t>
  </si>
  <si>
    <t>Timbang Inbound 4 &amp; Outbound 2</t>
  </si>
  <si>
    <t>Stockpile bentonite terjaga di atas 120 Ton</t>
  </si>
  <si>
    <t>11:00 - 12:00</t>
  </si>
  <si>
    <t>Truk Inbound 5 (Soda Ash)</t>
  </si>
  <si>
    <t>Timbang Inbound 5 (Soda Ash)</t>
  </si>
  <si>
    <t>Dosing tank soda ash terisi penuh</t>
  </si>
  <si>
    <t>12:00 - 13:00</t>
  </si>
  <si>
    <t>Rotasi Shift / Istirahat Parsial</t>
  </si>
  <si>
    <t>Truk Outbound 3 (30 Ton)</t>
  </si>
  <si>
    <t>Timbang Outbound 3</t>
  </si>
  <si>
    <t>Burner low fire standby, loading bay tetap jalan</t>
  </si>
  <si>
    <t>13:00 - 14:00</t>
  </si>
  <si>
    <t>Truk Inbound 6 (Bentonite)</t>
  </si>
  <si>
    <t>Timbang Inbound 6 (Bentonite)</t>
  </si>
  <si>
    <t>Pasokan siang masuk tepat waktu</t>
  </si>
  <si>
    <t>14:00 - 15:00</t>
  </si>
  <si>
    <t>Truk Outbound 4 (30 Ton)</t>
  </si>
  <si>
    <t>Timbang Outbound 4</t>
  </si>
  <si>
    <t>Pengiriman 120 Ton pertama tercapai</t>
  </si>
  <si>
    <t>15:00 - 16:00</t>
  </si>
  <si>
    <t>Shift 2 Handover / Inspeksi Mesin</t>
  </si>
  <si>
    <t>Truk Inbound 7 (Bentonite)</t>
  </si>
  <si>
    <t>Timbang Inbound 7 (Bentonite)</t>
  </si>
  <si>
    <t>Pemeriksaan pelumasan roll bearing 15 menit</t>
  </si>
  <si>
    <t>16:00 - 17:00</t>
  </si>
  <si>
    <t>Truk Outbound 5 (30 Ton)</t>
  </si>
  <si>
    <t>Timbang Outbound 5</t>
  </si>
  <si>
    <t>Truk tangki proyek jalan sebelum jam sibuk</t>
  </si>
  <si>
    <t>17:00 - 18:00</t>
  </si>
  <si>
    <t>Truk Inbound 8 (Bentonite)</t>
  </si>
  <si>
    <t>Timbang Inbound 8 (Bentonite)</t>
  </si>
  <si>
    <t>Level silo mendekati batas atas 60 Ton</t>
  </si>
  <si>
    <t>18:00 - 19:00</t>
  </si>
  <si>
    <t>Truk Outbound 6 (30 Ton)</t>
  </si>
  <si>
    <t>Timbang Outbound 6</t>
  </si>
  <si>
    <t>Pelepasan muatan produk jadi ke-6</t>
  </si>
  <si>
    <t>19:00 - 20:00</t>
  </si>
  <si>
    <t>Truk Inbound 9 (Bentonite)</t>
  </si>
  <si>
    <t>Timbang Inbound 9 (Bentonite)</t>
  </si>
  <si>
    <t>Antrean jembatan timbang terpantau lancar</t>
  </si>
  <si>
    <t>20:00 - 21:00</t>
  </si>
  <si>
    <t>Truk Outbound 7 (30 Ton)</t>
  </si>
  <si>
    <t>Timbang Outbound 7</t>
  </si>
  <si>
    <t>Target 210 Ton tercapai</t>
  </si>
  <si>
    <t>21:00 - 22:00</t>
  </si>
  <si>
    <t>Truk Inbound 10 (Calsium)</t>
  </si>
  <si>
    <t>Timbang Inbound 10 (Calsium)</t>
  </si>
  <si>
    <t>Waspada: Level Silo menyentuh 80 Ton!</t>
  </si>
  <si>
    <t>22:00 - 23:00</t>
  </si>
  <si>
    <t>Persiapan Shift 3 / Night Shift</t>
  </si>
  <si>
    <t>Truk Inbound 11 (Bentonite)</t>
  </si>
  <si>
    <t>Truk Outbound 8 (30 Ton)</t>
  </si>
  <si>
    <t>Timbang Inbound 11 &amp; Outbound 8</t>
  </si>
  <si>
    <t>Truk ke-8 berhasil dispatch, silo turun ke 70T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</si>
</sst>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&quot;%&quot;"/>
    <numFmt numFmtId="165" formatCode="&quot;Rp &quot;#,##0"/>
    <numFmt numFmtId="166" formatCode="yyyy\-mm\-dd\ hh:mm:ss"/>
    <numFmt numFmtId="167" formatCode="#,##0.0"/>
    <numFmt numFmtId="168" formatCode="yyyy\-mm\-dd"/>
    <numFmt numFmtId="169" formatCode="#,##0.0&quot; Ton&quot;"/>
    <numFmt numFmtId="170" formatCode="0.0%"/>
  </numFmts>
  <fonts count="16" x14ac:knownFonts="1">
    <font>
      <sz val="11"/>
      <color theme="1"/>
      <name val="Calibri"/>
      <family val="2"/>
      <scheme val="minor"/>
    </font>
    <font>
      <b/>
      <sz val="14"/>
      <color rgb="FF0F172A"/>
      <name val="Calibri"/>
    </font>
    <font>
      <i/>
      <sz val="10"/>
      <color rgb="FF475569"/>
      <name val="Calibri"/>
    </font>
    <font>
      <b/>
      <sz val="11"/>
      <color rgb="FFFFFFFF"/>
      <name val="Calibri"/>
    </font>
    <font>
      <b/>
      <sz val="11"/>
      <color rgb="FF1E3A8A"/>
      <name val="Calibri"/>
    </font>
    <font>
      <b/>
      <sz val="11"/>
      <color rgb="FF0F172A"/>
      <name val="Calibri"/>
    </font>
    <font>
      <b/>
      <sz val="10"/>
      <color rgb="FF334155"/>
      <name val="Calibri"/>
    </font>
    <font>
      <sz val="10"/>
      <color rgb="FF0F172A"/>
      <name val="Calibri"/>
    </font>
    <font>
      <b/>
      <sz val="12"/>
      <color rgb="FF0F172A"/>
      <name val="Calibri"/>
    </font>
    <font>
      <b/>
      <sz val="15"/>
      <color rgb="FF1E293B"/>
      <name val="Calibri"/>
    </font>
    <font>
      <b/>
      <sz val="9.5"/>
      <color rgb="FFFFFFFF"/>
      <name val="Calibri"/>
    </font>
    <font>
      <b/>
      <sz val="9.5"/>
      <color rgb="FF000000"/>
      <name val="Calibri"/>
    </font>
    <font>
      <sz val="9.5"/>
      <color rgb="FF000000"/>
      <name val="Calibri"/>
    </font>
    <font>
      <b/>
      <sz val="10"/>
      <color rgb="FFFFFFFF"/>
      <name val="Calibri"/>
    </font>
    <font>
      <b/>
      <sz val="10"/>
      <color rgb="FF0F172A"/>
      <name val="Calibri"/>
    </font>
    <font>
      <b/>
      <sz val="9.5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0284C7"/>
        <bgColor rgb="FF0284C7"/>
      </patternFill>
    </fill>
    <fill>
      <patternFill patternType="solid">
        <fgColor rgb="FFFEF3C7"/>
        <bgColor rgb="FFFEF3C7"/>
      </patternFill>
    </fill>
    <fill>
      <patternFill patternType="solid">
        <fgColor rgb="FF0D9488"/>
        <bgColor rgb="FF0D9488"/>
      </patternFill>
    </fill>
    <fill>
      <patternFill patternType="solid">
        <fgColor rgb="FFDCFCE7"/>
        <bgColor rgb="FFDCFCE7"/>
      </patternFill>
    </fill>
    <fill>
      <patternFill patternType="solid">
        <fgColor rgb="FFD97706"/>
        <bgColor rgb="FFD97706"/>
      </patternFill>
    </fill>
    <fill>
      <patternFill patternType="solid">
        <fgColor rgb="FF6366F1"/>
        <bgColor rgb="FF6366F1"/>
      </patternFill>
    </fill>
    <fill>
      <patternFill patternType="solid">
        <fgColor rgb="FFFFFF00"/>
        <bgColor rgb="FFFFFFFF"/>
      </patternFill>
    </fill>
    <fill>
      <patternFill patternType="solid">
        <fgColor theme="1"/>
        <bgColor rgb="FF1E293B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F8FAFC"/>
      </patternFill>
    </fill>
    <fill>
      <patternFill patternType="solid">
        <fgColor theme="1"/>
        <bgColor rgb="FFFFFFFF"/>
      </patternFill>
    </fill>
    <fill>
      <patternFill patternType="solid">
        <fgColor theme="1"/>
        <bgColor rgb="FFDCFCE7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F172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1E293B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5" fillId="0" borderId="0" xfId="0" applyFont="1"/>
    <xf numFmtId="0" fontId="6" fillId="0" borderId="1" xfId="0" applyFont="1" applyBorder="1"/>
    <xf numFmtId="0" fontId="7" fillId="0" borderId="1" xfId="0" applyFont="1" applyBorder="1"/>
    <xf numFmtId="0" fontId="8" fillId="0" borderId="0" xfId="0" applyFont="1"/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4" fontId="7" fillId="3" borderId="1" xfId="0" applyNumberFormat="1" applyFont="1" applyFill="1" applyBorder="1" applyAlignment="1">
      <alignment horizontal="right" vertical="center"/>
    </xf>
    <xf numFmtId="164" fontId="7" fillId="3" borderId="1" xfId="0" applyNumberFormat="1" applyFont="1" applyFill="1" applyBorder="1" applyAlignment="1">
      <alignment horizontal="right" vertical="center"/>
    </xf>
    <xf numFmtId="165" fontId="7" fillId="3" borderId="1" xfId="0" applyNumberFormat="1" applyFont="1" applyFill="1" applyBorder="1" applyAlignment="1">
      <alignment horizontal="right" vertical="center"/>
    </xf>
    <xf numFmtId="3" fontId="7" fillId="3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4" fontId="7" fillId="4" borderId="1" xfId="0" applyNumberFormat="1" applyFont="1" applyFill="1" applyBorder="1" applyAlignment="1">
      <alignment horizontal="righ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3" fontId="7" fillId="4" borderId="1" xfId="0" applyNumberFormat="1" applyFont="1" applyFill="1" applyBorder="1" applyAlignment="1">
      <alignment horizontal="center" vertical="center"/>
    </xf>
    <xf numFmtId="166" fontId="7" fillId="3" borderId="1" xfId="0" applyNumberFormat="1" applyFont="1" applyFill="1" applyBorder="1" applyAlignment="1">
      <alignment horizontal="center" vertical="center"/>
    </xf>
    <xf numFmtId="166" fontId="7" fillId="4" borderId="1" xfId="0" applyNumberFormat="1" applyFont="1" applyFill="1" applyBorder="1" applyAlignment="1">
      <alignment horizontal="center" vertical="center"/>
    </xf>
    <xf numFmtId="167" fontId="7" fillId="3" borderId="1" xfId="0" applyNumberFormat="1" applyFont="1" applyFill="1" applyBorder="1" applyAlignment="1">
      <alignment horizontal="right" vertical="center"/>
    </xf>
    <xf numFmtId="167" fontId="7" fillId="4" borderId="1" xfId="0" applyNumberFormat="1" applyFont="1" applyFill="1" applyBorder="1" applyAlignment="1">
      <alignment horizontal="right" vertical="center"/>
    </xf>
    <xf numFmtId="168" fontId="7" fillId="3" borderId="1" xfId="0" applyNumberFormat="1" applyFont="1" applyFill="1" applyBorder="1" applyAlignment="1">
      <alignment horizontal="center" vertical="center"/>
    </xf>
    <xf numFmtId="168" fontId="7" fillId="4" borderId="1" xfId="0" applyNumberFormat="1" applyFont="1" applyFill="1" applyBorder="1" applyAlignment="1">
      <alignment horizontal="center" vertical="center"/>
    </xf>
    <xf numFmtId="0" fontId="9" fillId="0" borderId="0" xfId="0" applyFont="1"/>
    <xf numFmtId="0" fontId="3" fillId="5" borderId="0" xfId="0" applyFont="1" applyFill="1"/>
    <xf numFmtId="0" fontId="0" fillId="5" borderId="0" xfId="0" applyFill="1"/>
    <xf numFmtId="0" fontId="10" fillId="2" borderId="2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 wrapText="1"/>
    </xf>
    <xf numFmtId="167" fontId="12" fillId="4" borderId="1" xfId="0" applyNumberFormat="1" applyFont="1" applyFill="1" applyBorder="1" applyAlignment="1">
      <alignment horizontal="center" vertical="center" wrapText="1"/>
    </xf>
    <xf numFmtId="167" fontId="11" fillId="4" borderId="1" xfId="0" applyNumberFormat="1" applyFont="1" applyFill="1" applyBorder="1" applyAlignment="1">
      <alignment horizontal="right" vertical="center"/>
    </xf>
    <xf numFmtId="167" fontId="12" fillId="4" borderId="1" xfId="0" applyNumberFormat="1" applyFont="1" applyFill="1" applyBorder="1" applyAlignment="1">
      <alignment horizontal="right" vertical="center"/>
    </xf>
    <xf numFmtId="2" fontId="12" fillId="4" borderId="1" xfId="0" applyNumberFormat="1" applyFont="1" applyFill="1" applyBorder="1" applyAlignment="1">
      <alignment horizontal="right" vertical="center"/>
    </xf>
    <xf numFmtId="1" fontId="11" fillId="4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167" fontId="12" fillId="3" borderId="1" xfId="0" applyNumberFormat="1" applyFont="1" applyFill="1" applyBorder="1" applyAlignment="1">
      <alignment horizontal="center" vertical="center" wrapText="1"/>
    </xf>
    <xf numFmtId="167" fontId="11" fillId="3" borderId="1" xfId="0" applyNumberFormat="1" applyFont="1" applyFill="1" applyBorder="1" applyAlignment="1">
      <alignment horizontal="right" vertical="center"/>
    </xf>
    <xf numFmtId="167" fontId="12" fillId="3" borderId="1" xfId="0" applyNumberFormat="1" applyFont="1" applyFill="1" applyBorder="1" applyAlignment="1">
      <alignment horizontal="right" vertical="center"/>
    </xf>
    <xf numFmtId="2" fontId="12" fillId="3" borderId="1" xfId="0" applyNumberFormat="1" applyFont="1" applyFill="1" applyBorder="1" applyAlignment="1">
      <alignment horizontal="right" vertical="center"/>
    </xf>
    <xf numFmtId="1" fontId="11" fillId="3" borderId="1" xfId="0" applyNumberFormat="1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left" vertical="center" wrapText="1"/>
    </xf>
    <xf numFmtId="167" fontId="12" fillId="6" borderId="1" xfId="0" applyNumberFormat="1" applyFont="1" applyFill="1" applyBorder="1" applyAlignment="1">
      <alignment horizontal="center" vertical="center" wrapText="1"/>
    </xf>
    <xf numFmtId="167" fontId="11" fillId="6" borderId="1" xfId="0" applyNumberFormat="1" applyFont="1" applyFill="1" applyBorder="1" applyAlignment="1">
      <alignment horizontal="right" vertical="center"/>
    </xf>
    <xf numFmtId="167" fontId="12" fillId="6" borderId="1" xfId="0" applyNumberFormat="1" applyFont="1" applyFill="1" applyBorder="1" applyAlignment="1">
      <alignment horizontal="right" vertical="center"/>
    </xf>
    <xf numFmtId="2" fontId="12" fillId="6" borderId="1" xfId="0" applyNumberFormat="1" applyFont="1" applyFill="1" applyBorder="1" applyAlignment="1">
      <alignment horizontal="right" vertical="center"/>
    </xf>
    <xf numFmtId="1" fontId="11" fillId="6" borderId="1" xfId="0" applyNumberFormat="1" applyFont="1" applyFill="1" applyBorder="1" applyAlignment="1">
      <alignment horizontal="center" vertical="center" wrapText="1"/>
    </xf>
    <xf numFmtId="0" fontId="3" fillId="7" borderId="0" xfId="0" applyFont="1" applyFill="1"/>
    <xf numFmtId="0" fontId="0" fillId="7" borderId="0" xfId="0" applyFill="1"/>
    <xf numFmtId="0" fontId="3" fillId="7" borderId="3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169" fontId="10" fillId="2" borderId="2" xfId="0" applyNumberFormat="1" applyFont="1" applyFill="1" applyBorder="1" applyAlignment="1">
      <alignment horizontal="center" vertical="center" wrapText="1"/>
    </xf>
    <xf numFmtId="165" fontId="10" fillId="2" borderId="2" xfId="0" applyNumberFormat="1" applyFont="1" applyFill="1" applyBorder="1" applyAlignment="1">
      <alignment horizontal="center" vertical="center" wrapText="1"/>
    </xf>
    <xf numFmtId="170" fontId="10" fillId="2" borderId="2" xfId="0" applyNumberFormat="1" applyFont="1" applyFill="1" applyBorder="1" applyAlignment="1">
      <alignment horizontal="center" vertical="center" wrapText="1"/>
    </xf>
    <xf numFmtId="3" fontId="12" fillId="3" borderId="1" xfId="0" applyNumberFormat="1" applyFont="1" applyFill="1" applyBorder="1" applyAlignment="1">
      <alignment horizontal="right" vertical="center"/>
    </xf>
    <xf numFmtId="3" fontId="11" fillId="3" borderId="1" xfId="0" applyNumberFormat="1" applyFont="1" applyFill="1" applyBorder="1" applyAlignment="1">
      <alignment horizontal="right" vertical="center"/>
    </xf>
    <xf numFmtId="10" fontId="12" fillId="3" borderId="1" xfId="0" applyNumberFormat="1" applyFont="1" applyFill="1" applyBorder="1" applyAlignment="1">
      <alignment horizontal="right" vertical="center"/>
    </xf>
    <xf numFmtId="3" fontId="12" fillId="4" borderId="1" xfId="0" applyNumberFormat="1" applyFont="1" applyFill="1" applyBorder="1" applyAlignment="1">
      <alignment horizontal="right" vertical="center"/>
    </xf>
    <xf numFmtId="3" fontId="11" fillId="4" borderId="1" xfId="0" applyNumberFormat="1" applyFont="1" applyFill="1" applyBorder="1" applyAlignment="1">
      <alignment horizontal="right" vertical="center"/>
    </xf>
    <xf numFmtId="10" fontId="12" fillId="4" borderId="1" xfId="0" applyNumberFormat="1" applyFont="1" applyFill="1" applyBorder="1" applyAlignment="1">
      <alignment horizontal="right" vertical="center"/>
    </xf>
    <xf numFmtId="0" fontId="11" fillId="8" borderId="1" xfId="0" applyFont="1" applyFill="1" applyBorder="1" applyAlignment="1">
      <alignment horizontal="center" vertical="center" wrapText="1"/>
    </xf>
    <xf numFmtId="167" fontId="12" fillId="8" borderId="1" xfId="0" applyNumberFormat="1" applyFont="1" applyFill="1" applyBorder="1" applyAlignment="1">
      <alignment horizontal="right" vertical="center"/>
    </xf>
    <xf numFmtId="3" fontId="12" fillId="8" borderId="1" xfId="0" applyNumberFormat="1" applyFont="1" applyFill="1" applyBorder="1" applyAlignment="1">
      <alignment horizontal="right" vertical="center"/>
    </xf>
    <xf numFmtId="3" fontId="11" fillId="8" borderId="1" xfId="0" applyNumberFormat="1" applyFont="1" applyFill="1" applyBorder="1" applyAlignment="1">
      <alignment horizontal="right" vertical="center"/>
    </xf>
    <xf numFmtId="10" fontId="12" fillId="8" borderId="1" xfId="0" applyNumberFormat="1" applyFont="1" applyFill="1" applyBorder="1" applyAlignment="1">
      <alignment horizontal="right" vertical="center"/>
    </xf>
    <xf numFmtId="0" fontId="3" fillId="9" borderId="1" xfId="0" applyFont="1" applyFill="1" applyBorder="1" applyAlignment="1">
      <alignment horizontal="center" vertical="top"/>
    </xf>
    <xf numFmtId="0" fontId="14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top"/>
    </xf>
    <xf numFmtId="0" fontId="11" fillId="4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3" fillId="10" borderId="0" xfId="0" applyFont="1" applyFill="1"/>
    <xf numFmtId="0" fontId="11" fillId="11" borderId="1" xfId="0" applyFont="1" applyFill="1" applyBorder="1" applyAlignment="1">
      <alignment horizontal="center" vertical="center" wrapText="1"/>
    </xf>
    <xf numFmtId="167" fontId="12" fillId="11" borderId="1" xfId="0" applyNumberFormat="1" applyFont="1" applyFill="1" applyBorder="1" applyAlignment="1">
      <alignment horizontal="right" vertical="center"/>
    </xf>
    <xf numFmtId="3" fontId="12" fillId="11" borderId="1" xfId="0" applyNumberFormat="1" applyFont="1" applyFill="1" applyBorder="1" applyAlignment="1">
      <alignment horizontal="right" vertical="center"/>
    </xf>
    <xf numFmtId="3" fontId="11" fillId="11" borderId="1" xfId="0" applyNumberFormat="1" applyFont="1" applyFill="1" applyBorder="1" applyAlignment="1">
      <alignment horizontal="right" vertical="center"/>
    </xf>
    <xf numFmtId="10" fontId="12" fillId="11" borderId="1" xfId="0" applyNumberFormat="1" applyFont="1" applyFill="1" applyBorder="1" applyAlignment="1">
      <alignment horizontal="right" vertical="center"/>
    </xf>
    <xf numFmtId="0" fontId="13" fillId="12" borderId="3" xfId="0" applyFont="1" applyFill="1" applyBorder="1" applyAlignment="1">
      <alignment horizontal="center" vertical="center" wrapText="1"/>
    </xf>
    <xf numFmtId="0" fontId="0" fillId="13" borderId="0" xfId="0" applyFill="1"/>
    <xf numFmtId="3" fontId="12" fillId="14" borderId="1" xfId="0" applyNumberFormat="1" applyFont="1" applyFill="1" applyBorder="1" applyAlignment="1">
      <alignment horizontal="right" vertical="center"/>
    </xf>
    <xf numFmtId="3" fontId="11" fillId="14" borderId="1" xfId="0" applyNumberFormat="1" applyFont="1" applyFill="1" applyBorder="1" applyAlignment="1">
      <alignment horizontal="right" vertical="center"/>
    </xf>
    <xf numFmtId="3" fontId="12" fillId="15" borderId="1" xfId="0" applyNumberFormat="1" applyFont="1" applyFill="1" applyBorder="1" applyAlignment="1">
      <alignment horizontal="right" vertical="center"/>
    </xf>
    <xf numFmtId="3" fontId="11" fillId="15" borderId="1" xfId="0" applyNumberFormat="1" applyFont="1" applyFill="1" applyBorder="1" applyAlignment="1">
      <alignment horizontal="right" vertical="center"/>
    </xf>
    <xf numFmtId="3" fontId="12" fillId="16" borderId="1" xfId="0" applyNumberFormat="1" applyFont="1" applyFill="1" applyBorder="1" applyAlignment="1">
      <alignment horizontal="right" vertical="center"/>
    </xf>
    <xf numFmtId="3" fontId="11" fillId="16" borderId="1" xfId="0" applyNumberFormat="1" applyFont="1" applyFill="1" applyBorder="1" applyAlignment="1">
      <alignment horizontal="right" vertical="center"/>
    </xf>
    <xf numFmtId="165" fontId="15" fillId="12" borderId="2" xfId="0" applyNumberFormat="1" applyFont="1" applyFill="1" applyBorder="1" applyAlignment="1">
      <alignment horizontal="center" vertical="center" wrapText="1"/>
    </xf>
    <xf numFmtId="0" fontId="15" fillId="1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6"/>
  <sheetViews>
    <sheetView topLeftCell="A4" workbookViewId="0">
      <selection activeCell="C29" sqref="C29"/>
    </sheetView>
  </sheetViews>
  <sheetFormatPr defaultRowHeight="14.4" x14ac:dyDescent="0.3"/>
  <cols>
    <col min="1" max="1" width="10" customWidth="1"/>
    <col min="2" max="2" width="62" bestFit="1" customWidth="1"/>
    <col min="3" max="3" width="28" customWidth="1"/>
    <col min="4" max="4" width="22" customWidth="1"/>
    <col min="5" max="6" width="14" customWidth="1"/>
    <col min="7" max="7" width="90" customWidth="1"/>
  </cols>
  <sheetData>
    <row r="2" spans="2:7" ht="18" x14ac:dyDescent="0.35">
      <c r="B2" s="1" t="s">
        <v>0</v>
      </c>
    </row>
    <row r="3" spans="2:7" x14ac:dyDescent="0.3">
      <c r="B3" s="2" t="s">
        <v>1</v>
      </c>
    </row>
    <row r="5" spans="2:7" ht="28.05" customHeight="1" x14ac:dyDescent="0.3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 spans="2:7" ht="22.05" customHeight="1" x14ac:dyDescent="0.3">
      <c r="B6" s="4">
        <v>1</v>
      </c>
      <c r="C6" s="5" t="s">
        <v>8</v>
      </c>
      <c r="D6" s="6" t="s">
        <v>9</v>
      </c>
      <c r="E6" s="4">
        <v>10</v>
      </c>
      <c r="F6" s="4">
        <v>10</v>
      </c>
      <c r="G6" s="6" t="s">
        <v>10</v>
      </c>
    </row>
    <row r="7" spans="2:7" ht="22.05" customHeight="1" x14ac:dyDescent="0.3">
      <c r="B7" s="7">
        <v>2</v>
      </c>
      <c r="C7" s="8" t="s">
        <v>11</v>
      </c>
      <c r="D7" s="9" t="s">
        <v>9</v>
      </c>
      <c r="E7" s="7">
        <v>10</v>
      </c>
      <c r="F7" s="7">
        <v>10</v>
      </c>
      <c r="G7" s="9" t="s">
        <v>12</v>
      </c>
    </row>
    <row r="8" spans="2:7" ht="22.05" customHeight="1" x14ac:dyDescent="0.3">
      <c r="B8" s="4">
        <v>3</v>
      </c>
      <c r="C8" s="5" t="s">
        <v>13</v>
      </c>
      <c r="D8" s="6" t="s">
        <v>14</v>
      </c>
      <c r="E8" s="4">
        <v>12</v>
      </c>
      <c r="F8" s="4">
        <v>10</v>
      </c>
      <c r="G8" s="6" t="s">
        <v>15</v>
      </c>
    </row>
    <row r="9" spans="2:7" ht="22.05" customHeight="1" x14ac:dyDescent="0.3">
      <c r="B9" s="7">
        <v>4</v>
      </c>
      <c r="C9" s="8" t="s">
        <v>16</v>
      </c>
      <c r="D9" s="9" t="s">
        <v>14</v>
      </c>
      <c r="E9" s="7">
        <v>12</v>
      </c>
      <c r="F9" s="7">
        <v>10</v>
      </c>
      <c r="G9" s="9" t="s">
        <v>17</v>
      </c>
    </row>
    <row r="10" spans="2:7" ht="22.05" customHeight="1" x14ac:dyDescent="0.3">
      <c r="B10" s="4">
        <v>5</v>
      </c>
      <c r="C10" s="5" t="s">
        <v>18</v>
      </c>
      <c r="D10" s="6" t="s">
        <v>19</v>
      </c>
      <c r="E10" s="4">
        <v>12</v>
      </c>
      <c r="F10" s="4">
        <v>10</v>
      </c>
      <c r="G10" s="6" t="s">
        <v>20</v>
      </c>
    </row>
    <row r="11" spans="2:7" ht="22.05" customHeight="1" x14ac:dyDescent="0.3">
      <c r="B11" s="7">
        <v>6</v>
      </c>
      <c r="C11" s="8" t="s">
        <v>21</v>
      </c>
      <c r="D11" s="9" t="s">
        <v>22</v>
      </c>
      <c r="E11" s="7">
        <v>14</v>
      </c>
      <c r="F11" s="7">
        <v>10</v>
      </c>
      <c r="G11" s="9" t="s">
        <v>23</v>
      </c>
    </row>
    <row r="12" spans="2:7" ht="22.05" customHeight="1" x14ac:dyDescent="0.3">
      <c r="B12" s="4">
        <v>7</v>
      </c>
      <c r="C12" s="5" t="s">
        <v>24</v>
      </c>
      <c r="D12" s="6" t="s">
        <v>25</v>
      </c>
      <c r="E12" s="4">
        <v>12</v>
      </c>
      <c r="F12" s="4">
        <v>10</v>
      </c>
      <c r="G12" s="6" t="s">
        <v>26</v>
      </c>
    </row>
    <row r="13" spans="2:7" ht="22.05" customHeight="1" x14ac:dyDescent="0.3">
      <c r="B13" s="7">
        <v>8</v>
      </c>
      <c r="C13" s="8" t="s">
        <v>27</v>
      </c>
      <c r="D13" s="9" t="s">
        <v>28</v>
      </c>
      <c r="E13" s="7">
        <v>13</v>
      </c>
      <c r="F13" s="7">
        <v>10</v>
      </c>
      <c r="G13" s="9" t="s">
        <v>29</v>
      </c>
    </row>
    <row r="16" spans="2:7" x14ac:dyDescent="0.3">
      <c r="B16" s="10" t="s">
        <v>30</v>
      </c>
    </row>
    <row r="17" spans="2:3" x14ac:dyDescent="0.3">
      <c r="B17" s="11" t="s">
        <v>31</v>
      </c>
      <c r="C17" s="12" t="s">
        <v>32</v>
      </c>
    </row>
    <row r="18" spans="2:3" x14ac:dyDescent="0.3">
      <c r="B18" s="11" t="s">
        <v>33</v>
      </c>
      <c r="C18" s="12" t="s">
        <v>34</v>
      </c>
    </row>
    <row r="19" spans="2:3" x14ac:dyDescent="0.3">
      <c r="B19" s="11" t="s">
        <v>35</v>
      </c>
      <c r="C19" s="12" t="s">
        <v>36</v>
      </c>
    </row>
    <row r="20" spans="2:3" x14ac:dyDescent="0.3">
      <c r="B20" s="11" t="s">
        <v>37</v>
      </c>
      <c r="C20" s="12" t="s">
        <v>38</v>
      </c>
    </row>
    <row r="21" spans="2:3" x14ac:dyDescent="0.3">
      <c r="B21" s="11" t="s">
        <v>39</v>
      </c>
      <c r="C21" s="12" t="s">
        <v>40</v>
      </c>
    </row>
    <row r="22" spans="2:3" x14ac:dyDescent="0.3">
      <c r="B22" s="11" t="s">
        <v>41</v>
      </c>
      <c r="C22" s="12" t="s">
        <v>42</v>
      </c>
    </row>
    <row r="23" spans="2:3" x14ac:dyDescent="0.3">
      <c r="B23" s="11" t="s">
        <v>43</v>
      </c>
      <c r="C23" s="12" t="s">
        <v>44</v>
      </c>
    </row>
    <row r="24" spans="2:3" x14ac:dyDescent="0.3">
      <c r="B24" s="11" t="s">
        <v>45</v>
      </c>
      <c r="C24" s="12" t="s">
        <v>46</v>
      </c>
    </row>
    <row r="25" spans="2:3" x14ac:dyDescent="0.3">
      <c r="B25" s="11" t="s">
        <v>47</v>
      </c>
      <c r="C25" s="12" t="s">
        <v>48</v>
      </c>
    </row>
    <row r="26" spans="2:3" x14ac:dyDescent="0.3">
      <c r="B26" s="11" t="s">
        <v>49</v>
      </c>
      <c r="C26" s="12" t="s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"/>
  <sheetViews>
    <sheetView topLeftCell="B1" workbookViewId="0">
      <pane ySplit="2" topLeftCell="A3" activePane="bottomLeft" state="frozen"/>
      <selection pane="bottomLeft" activeCell="F12" sqref="F12"/>
    </sheetView>
  </sheetViews>
  <sheetFormatPr defaultRowHeight="14.4" x14ac:dyDescent="0.3"/>
  <cols>
    <col min="1" max="1" width="15" customWidth="1"/>
    <col min="2" max="2" width="36" customWidth="1"/>
    <col min="3" max="4" width="22" customWidth="1"/>
    <col min="5" max="5" width="27" customWidth="1"/>
    <col min="6" max="6" width="23" customWidth="1"/>
    <col min="7" max="7" width="19" customWidth="1"/>
    <col min="8" max="8" width="21" customWidth="1"/>
    <col min="9" max="9" width="19" customWidth="1"/>
    <col min="10" max="10" width="37" customWidth="1"/>
  </cols>
  <sheetData>
    <row r="1" spans="1:10" ht="24" customHeight="1" x14ac:dyDescent="0.3">
      <c r="A1" s="13" t="s">
        <v>51</v>
      </c>
    </row>
    <row r="2" spans="1:10" ht="28.05" customHeight="1" x14ac:dyDescent="0.3">
      <c r="A2" s="3" t="s">
        <v>52</v>
      </c>
      <c r="B2" s="3" t="s">
        <v>53</v>
      </c>
      <c r="C2" s="3" t="s">
        <v>54</v>
      </c>
      <c r="D2" s="3" t="s">
        <v>55</v>
      </c>
      <c r="E2" s="3" t="s">
        <v>56</v>
      </c>
      <c r="F2" s="3" t="s">
        <v>57</v>
      </c>
      <c r="G2" s="3" t="s">
        <v>58</v>
      </c>
      <c r="H2" s="3" t="s">
        <v>59</v>
      </c>
      <c r="I2" s="3" t="s">
        <v>60</v>
      </c>
      <c r="J2" s="3" t="s">
        <v>61</v>
      </c>
    </row>
    <row r="3" spans="1:10" ht="19.95" customHeight="1" x14ac:dyDescent="0.3">
      <c r="A3" s="14" t="s">
        <v>62</v>
      </c>
      <c r="B3" s="15" t="s">
        <v>63</v>
      </c>
      <c r="C3" s="15" t="s">
        <v>64</v>
      </c>
      <c r="D3" s="16">
        <v>0.8</v>
      </c>
      <c r="E3" s="17">
        <v>80</v>
      </c>
      <c r="F3" s="18">
        <v>500</v>
      </c>
      <c r="G3" s="14" t="s">
        <v>65</v>
      </c>
      <c r="H3" s="16">
        <v>50</v>
      </c>
      <c r="I3" s="19">
        <v>1</v>
      </c>
      <c r="J3" s="15" t="s">
        <v>66</v>
      </c>
    </row>
    <row r="4" spans="1:10" ht="19.95" customHeight="1" x14ac:dyDescent="0.3">
      <c r="A4" s="20" t="s">
        <v>67</v>
      </c>
      <c r="B4" s="21" t="s">
        <v>68</v>
      </c>
      <c r="C4" s="21" t="s">
        <v>64</v>
      </c>
      <c r="D4" s="22">
        <v>2.8</v>
      </c>
      <c r="E4" s="23">
        <v>15</v>
      </c>
      <c r="F4" s="24">
        <v>275</v>
      </c>
      <c r="G4" s="20" t="s">
        <v>65</v>
      </c>
      <c r="H4" s="22">
        <v>30</v>
      </c>
      <c r="I4" s="25">
        <v>3</v>
      </c>
      <c r="J4" s="21" t="s">
        <v>69</v>
      </c>
    </row>
    <row r="5" spans="1:10" ht="19.95" customHeight="1" x14ac:dyDescent="0.3">
      <c r="A5" s="14" t="s">
        <v>70</v>
      </c>
      <c r="B5" s="15" t="s">
        <v>71</v>
      </c>
      <c r="C5" s="15" t="s">
        <v>72</v>
      </c>
      <c r="D5" s="16">
        <v>1.1299999999999999</v>
      </c>
      <c r="E5" s="17">
        <v>5</v>
      </c>
      <c r="F5" s="18">
        <v>5000</v>
      </c>
      <c r="G5" s="14" t="s">
        <v>65</v>
      </c>
      <c r="H5" s="16">
        <v>10</v>
      </c>
      <c r="I5" s="19">
        <v>7</v>
      </c>
      <c r="J5" s="15" t="s">
        <v>73</v>
      </c>
    </row>
    <row r="6" spans="1:10" ht="19.95" customHeight="1" x14ac:dyDescent="0.3">
      <c r="A6" s="20" t="s">
        <v>74</v>
      </c>
      <c r="B6" s="21" t="s">
        <v>75</v>
      </c>
      <c r="C6" s="21" t="s">
        <v>76</v>
      </c>
      <c r="D6" s="22">
        <v>0.65</v>
      </c>
      <c r="E6" s="23">
        <v>0</v>
      </c>
      <c r="F6" s="24">
        <v>5200</v>
      </c>
      <c r="G6" s="20" t="s">
        <v>65</v>
      </c>
      <c r="H6" s="22">
        <v>5</v>
      </c>
      <c r="I6" s="25">
        <v>7</v>
      </c>
      <c r="J6" s="21" t="s">
        <v>77</v>
      </c>
    </row>
    <row r="7" spans="1:10" ht="19.95" customHeight="1" x14ac:dyDescent="0.3">
      <c r="A7" s="14" t="s">
        <v>78</v>
      </c>
      <c r="B7" s="15" t="s">
        <v>79</v>
      </c>
      <c r="C7" s="15" t="s">
        <v>80</v>
      </c>
      <c r="D7" s="16">
        <v>1.05</v>
      </c>
      <c r="E7" s="17">
        <v>0</v>
      </c>
      <c r="F7" s="18">
        <v>3100</v>
      </c>
      <c r="G7" s="14" t="s">
        <v>65</v>
      </c>
      <c r="H7" s="16">
        <v>10</v>
      </c>
      <c r="I7" s="19">
        <v>4</v>
      </c>
      <c r="J7" s="15" t="s">
        <v>81</v>
      </c>
    </row>
    <row r="8" spans="1:10" ht="19.95" customHeight="1" x14ac:dyDescent="0.3">
      <c r="A8" s="20" t="s">
        <v>82</v>
      </c>
      <c r="B8" s="21" t="s">
        <v>83</v>
      </c>
      <c r="C8" s="21" t="s">
        <v>84</v>
      </c>
      <c r="D8" s="22">
        <v>1.2</v>
      </c>
      <c r="E8" s="23">
        <v>0</v>
      </c>
      <c r="F8" s="24">
        <v>2900</v>
      </c>
      <c r="G8" s="20" t="s">
        <v>65</v>
      </c>
      <c r="H8" s="22">
        <v>15</v>
      </c>
      <c r="I8" s="25">
        <v>5</v>
      </c>
      <c r="J8" s="21" t="s">
        <v>85</v>
      </c>
    </row>
    <row r="9" spans="1:10" ht="19.95" customHeight="1" x14ac:dyDescent="0.3">
      <c r="A9" s="14" t="s">
        <v>86</v>
      </c>
      <c r="B9" s="15" t="s">
        <v>87</v>
      </c>
      <c r="C9" s="15" t="s">
        <v>88</v>
      </c>
      <c r="D9" s="16">
        <v>0</v>
      </c>
      <c r="E9" s="17">
        <v>0</v>
      </c>
      <c r="F9" s="18">
        <v>85000</v>
      </c>
      <c r="G9" s="14" t="s">
        <v>89</v>
      </c>
      <c r="H9" s="16">
        <v>500</v>
      </c>
      <c r="I9" s="19">
        <v>10</v>
      </c>
      <c r="J9" s="15" t="s">
        <v>90</v>
      </c>
    </row>
    <row r="10" spans="1:10" ht="19.95" customHeight="1" x14ac:dyDescent="0.3">
      <c r="A10" s="20" t="s">
        <v>91</v>
      </c>
      <c r="B10" s="21" t="s">
        <v>92</v>
      </c>
      <c r="C10" s="21" t="s">
        <v>93</v>
      </c>
      <c r="D10" s="22">
        <v>0</v>
      </c>
      <c r="E10" s="23">
        <v>0</v>
      </c>
      <c r="F10" s="24">
        <v>125000</v>
      </c>
      <c r="G10" s="20" t="s">
        <v>89</v>
      </c>
      <c r="H10" s="22">
        <v>200</v>
      </c>
      <c r="I10" s="25">
        <v>14</v>
      </c>
      <c r="J10" s="21" t="s">
        <v>94</v>
      </c>
    </row>
    <row r="11" spans="1:10" ht="19.95" customHeight="1" x14ac:dyDescent="0.3">
      <c r="A11" s="14" t="s">
        <v>95</v>
      </c>
      <c r="B11" s="15" t="s">
        <v>96</v>
      </c>
      <c r="C11" s="15" t="s">
        <v>97</v>
      </c>
      <c r="D11" s="16">
        <v>0</v>
      </c>
      <c r="E11" s="17">
        <v>0</v>
      </c>
      <c r="F11" s="18">
        <v>173880</v>
      </c>
      <c r="G11" s="14" t="s">
        <v>98</v>
      </c>
      <c r="H11" s="16">
        <v>1500</v>
      </c>
      <c r="I11" s="19">
        <v>0</v>
      </c>
      <c r="J11" s="15" t="s">
        <v>99</v>
      </c>
    </row>
    <row r="12" spans="1:10" ht="19.95" customHeight="1" x14ac:dyDescent="0.3">
      <c r="A12" s="20" t="s">
        <v>100</v>
      </c>
      <c r="B12" s="21" t="s">
        <v>101</v>
      </c>
      <c r="C12" s="21" t="s">
        <v>102</v>
      </c>
      <c r="D12" s="22">
        <v>0</v>
      </c>
      <c r="E12" s="23">
        <v>0</v>
      </c>
      <c r="F12" s="24">
        <v>279000</v>
      </c>
      <c r="G12" s="20" t="s">
        <v>98</v>
      </c>
      <c r="H12" s="22">
        <v>1500</v>
      </c>
      <c r="I12" s="25">
        <v>1</v>
      </c>
      <c r="J12" s="21" t="s">
        <v>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7" customWidth="1"/>
    <col min="2" max="2" width="34" customWidth="1"/>
    <col min="3" max="3" width="22" customWidth="1"/>
    <col min="4" max="4" width="20" customWidth="1"/>
    <col min="5" max="5" width="14" customWidth="1"/>
    <col min="6" max="6" width="23" customWidth="1"/>
    <col min="7" max="7" width="20" customWidth="1"/>
    <col min="8" max="8" width="25" customWidth="1"/>
    <col min="9" max="9" width="20" customWidth="1"/>
    <col min="10" max="10" width="23" customWidth="1"/>
  </cols>
  <sheetData>
    <row r="1" spans="1:10" ht="24" customHeight="1" x14ac:dyDescent="0.3">
      <c r="A1" s="13" t="s">
        <v>104</v>
      </c>
    </row>
    <row r="2" spans="1:10" ht="28.05" customHeight="1" x14ac:dyDescent="0.3">
      <c r="A2" s="3" t="s">
        <v>105</v>
      </c>
      <c r="B2" s="3" t="s">
        <v>106</v>
      </c>
      <c r="C2" s="3" t="s">
        <v>107</v>
      </c>
      <c r="D2" s="3" t="s">
        <v>108</v>
      </c>
      <c r="E2" s="3" t="s">
        <v>109</v>
      </c>
      <c r="F2" s="3" t="s">
        <v>110</v>
      </c>
      <c r="G2" s="3" t="s">
        <v>111</v>
      </c>
      <c r="H2" s="3" t="s">
        <v>112</v>
      </c>
      <c r="I2" s="3" t="s">
        <v>113</v>
      </c>
      <c r="J2" s="3" t="s">
        <v>114</v>
      </c>
    </row>
    <row r="3" spans="1:10" ht="19.95" customHeight="1" x14ac:dyDescent="0.3">
      <c r="A3" s="14" t="s">
        <v>115</v>
      </c>
      <c r="B3" s="15" t="s">
        <v>116</v>
      </c>
      <c r="C3" s="15" t="s">
        <v>117</v>
      </c>
      <c r="D3" s="14" t="s">
        <v>118</v>
      </c>
      <c r="E3" s="16">
        <v>324</v>
      </c>
      <c r="F3" s="16">
        <v>134.4</v>
      </c>
      <c r="G3" s="16">
        <v>8.4</v>
      </c>
      <c r="H3" s="15" t="s">
        <v>119</v>
      </c>
      <c r="I3" s="16">
        <v>0</v>
      </c>
      <c r="J3" s="14" t="s">
        <v>120</v>
      </c>
    </row>
    <row r="4" spans="1:10" ht="19.95" customHeight="1" x14ac:dyDescent="0.3">
      <c r="A4" s="20" t="s">
        <v>121</v>
      </c>
      <c r="B4" s="21" t="s">
        <v>122</v>
      </c>
      <c r="C4" s="21" t="s">
        <v>117</v>
      </c>
      <c r="D4" s="20" t="s">
        <v>123</v>
      </c>
      <c r="E4" s="22">
        <v>108</v>
      </c>
      <c r="F4" s="22">
        <v>120.96</v>
      </c>
      <c r="G4" s="22">
        <v>40.32</v>
      </c>
      <c r="H4" s="21" t="s">
        <v>124</v>
      </c>
      <c r="I4" s="22">
        <v>0</v>
      </c>
      <c r="J4" s="20" t="s">
        <v>120</v>
      </c>
    </row>
    <row r="5" spans="1:10" ht="19.95" customHeight="1" x14ac:dyDescent="0.3">
      <c r="A5" s="14" t="s">
        <v>125</v>
      </c>
      <c r="B5" s="15" t="s">
        <v>126</v>
      </c>
      <c r="C5" s="15" t="s">
        <v>127</v>
      </c>
      <c r="D5" s="14" t="s">
        <v>128</v>
      </c>
      <c r="E5" s="16">
        <v>28.26</v>
      </c>
      <c r="F5" s="16">
        <v>31.93</v>
      </c>
      <c r="G5" s="16">
        <v>31.93</v>
      </c>
      <c r="H5" s="15" t="s">
        <v>129</v>
      </c>
      <c r="I5" s="16">
        <v>5.5</v>
      </c>
      <c r="J5" s="14" t="s">
        <v>120</v>
      </c>
    </row>
    <row r="6" spans="1:10" ht="19.95" customHeight="1" x14ac:dyDescent="0.3">
      <c r="A6" s="20" t="s">
        <v>130</v>
      </c>
      <c r="B6" s="21" t="s">
        <v>131</v>
      </c>
      <c r="C6" s="21" t="s">
        <v>132</v>
      </c>
      <c r="D6" s="20" t="s">
        <v>133</v>
      </c>
      <c r="E6" s="22">
        <v>0</v>
      </c>
      <c r="F6" s="22">
        <v>3</v>
      </c>
      <c r="G6" s="22">
        <v>0</v>
      </c>
      <c r="H6" s="21" t="s">
        <v>134</v>
      </c>
      <c r="I6" s="22">
        <v>35</v>
      </c>
      <c r="J6" s="20" t="s">
        <v>120</v>
      </c>
    </row>
    <row r="7" spans="1:10" ht="19.95" customHeight="1" x14ac:dyDescent="0.3">
      <c r="A7" s="14" t="s">
        <v>135</v>
      </c>
      <c r="B7" s="15" t="s">
        <v>136</v>
      </c>
      <c r="C7" s="15" t="s">
        <v>137</v>
      </c>
      <c r="D7" s="14" t="s">
        <v>138</v>
      </c>
      <c r="E7" s="16">
        <v>30</v>
      </c>
      <c r="F7" s="16">
        <v>25</v>
      </c>
      <c r="G7" s="16">
        <v>1.25</v>
      </c>
      <c r="H7" s="15" t="s">
        <v>139</v>
      </c>
      <c r="I7" s="16">
        <v>15</v>
      </c>
      <c r="J7" s="14" t="s">
        <v>120</v>
      </c>
    </row>
    <row r="8" spans="1:10" ht="19.95" customHeight="1" x14ac:dyDescent="0.3">
      <c r="A8" s="20" t="s">
        <v>140</v>
      </c>
      <c r="B8" s="21" t="s">
        <v>141</v>
      </c>
      <c r="C8" s="21" t="s">
        <v>142</v>
      </c>
      <c r="D8" s="20" t="s">
        <v>143</v>
      </c>
      <c r="E8" s="22">
        <v>88.35</v>
      </c>
      <c r="F8" s="22">
        <v>20</v>
      </c>
      <c r="G8" s="22">
        <v>1</v>
      </c>
      <c r="H8" s="21" t="s">
        <v>144</v>
      </c>
      <c r="I8" s="22">
        <v>55</v>
      </c>
      <c r="J8" s="20" t="s">
        <v>120</v>
      </c>
    </row>
    <row r="9" spans="1:10" ht="19.95" customHeight="1" x14ac:dyDescent="0.3">
      <c r="A9" s="14" t="s">
        <v>145</v>
      </c>
      <c r="B9" s="15" t="s">
        <v>146</v>
      </c>
      <c r="C9" s="15" t="s">
        <v>147</v>
      </c>
      <c r="D9" s="14" t="s">
        <v>148</v>
      </c>
      <c r="E9" s="16">
        <v>0</v>
      </c>
      <c r="F9" s="16">
        <v>0</v>
      </c>
      <c r="G9" s="16">
        <v>0</v>
      </c>
      <c r="H9" s="15" t="s">
        <v>149</v>
      </c>
      <c r="I9" s="16">
        <v>7.5</v>
      </c>
      <c r="J9" s="14" t="s">
        <v>120</v>
      </c>
    </row>
    <row r="10" spans="1:10" ht="19.95" customHeight="1" x14ac:dyDescent="0.3">
      <c r="A10" s="20" t="s">
        <v>150</v>
      </c>
      <c r="B10" s="21" t="s">
        <v>151</v>
      </c>
      <c r="C10" s="21" t="s">
        <v>152</v>
      </c>
      <c r="D10" s="20" t="s">
        <v>153</v>
      </c>
      <c r="E10" s="22">
        <v>0</v>
      </c>
      <c r="F10" s="22">
        <v>25</v>
      </c>
      <c r="G10" s="22">
        <v>0</v>
      </c>
      <c r="H10" s="21" t="s">
        <v>154</v>
      </c>
      <c r="I10" s="22">
        <v>18.5</v>
      </c>
      <c r="J10" s="20" t="s">
        <v>120</v>
      </c>
    </row>
    <row r="11" spans="1:10" ht="19.95" customHeight="1" x14ac:dyDescent="0.3">
      <c r="A11" s="14" t="s">
        <v>155</v>
      </c>
      <c r="B11" s="15" t="s">
        <v>156</v>
      </c>
      <c r="C11" s="15" t="s">
        <v>157</v>
      </c>
      <c r="D11" s="14" t="s">
        <v>158</v>
      </c>
      <c r="E11" s="16">
        <v>72</v>
      </c>
      <c r="F11" s="16">
        <v>86.4</v>
      </c>
      <c r="G11" s="16">
        <v>4.32</v>
      </c>
      <c r="H11" s="15" t="s">
        <v>159</v>
      </c>
      <c r="I11" s="16">
        <v>11</v>
      </c>
      <c r="J11" s="14" t="s">
        <v>120</v>
      </c>
    </row>
    <row r="12" spans="1:10" ht="19.95" customHeight="1" x14ac:dyDescent="0.3">
      <c r="A12" s="20" t="s">
        <v>160</v>
      </c>
      <c r="B12" s="21" t="s">
        <v>161</v>
      </c>
      <c r="C12" s="21" t="s">
        <v>162</v>
      </c>
      <c r="D12" s="20" t="s">
        <v>163</v>
      </c>
      <c r="E12" s="22">
        <v>0</v>
      </c>
      <c r="F12" s="22">
        <v>60</v>
      </c>
      <c r="G12" s="22">
        <v>0</v>
      </c>
      <c r="H12" s="21" t="s">
        <v>164</v>
      </c>
      <c r="I12" s="22">
        <v>3</v>
      </c>
      <c r="J12" s="20" t="s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2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8" customWidth="1"/>
    <col min="2" max="2" width="19" customWidth="1"/>
    <col min="3" max="3" width="14" customWidth="1"/>
    <col min="4" max="4" width="19" customWidth="1"/>
    <col min="5" max="5" width="30" customWidth="1"/>
    <col min="6" max="6" width="24" customWidth="1"/>
    <col min="7" max="7" width="26" customWidth="1"/>
    <col min="8" max="8" width="19" customWidth="1"/>
    <col min="9" max="9" width="18" customWidth="1"/>
    <col min="10" max="10" width="20" customWidth="1"/>
    <col min="11" max="11" width="24" customWidth="1"/>
    <col min="12" max="12" width="14" customWidth="1"/>
  </cols>
  <sheetData>
    <row r="1" spans="1:12" ht="24" customHeight="1" x14ac:dyDescent="0.3">
      <c r="A1" s="13" t="s">
        <v>165</v>
      </c>
    </row>
    <row r="2" spans="1:12" ht="28.05" customHeight="1" x14ac:dyDescent="0.3">
      <c r="A2" s="3" t="s">
        <v>166</v>
      </c>
      <c r="B2" s="3" t="s">
        <v>167</v>
      </c>
      <c r="C2" s="3" t="s">
        <v>52</v>
      </c>
      <c r="D2" s="3" t="s">
        <v>168</v>
      </c>
      <c r="E2" s="3" t="s">
        <v>169</v>
      </c>
      <c r="F2" s="3" t="s">
        <v>170</v>
      </c>
      <c r="G2" s="3" t="s">
        <v>171</v>
      </c>
      <c r="H2" s="3" t="s">
        <v>172</v>
      </c>
      <c r="I2" s="3" t="s">
        <v>173</v>
      </c>
      <c r="J2" s="3" t="s">
        <v>174</v>
      </c>
      <c r="K2" s="3" t="s">
        <v>175</v>
      </c>
      <c r="L2" s="3" t="s">
        <v>176</v>
      </c>
    </row>
    <row r="3" spans="1:12" ht="19.95" customHeight="1" x14ac:dyDescent="0.3">
      <c r="A3" s="14" t="s">
        <v>177</v>
      </c>
      <c r="B3" s="15" t="s">
        <v>178</v>
      </c>
      <c r="C3" s="14" t="s">
        <v>62</v>
      </c>
      <c r="D3" s="14" t="s">
        <v>179</v>
      </c>
      <c r="E3" s="15" t="s">
        <v>180</v>
      </c>
      <c r="F3" s="26" t="s">
        <v>181</v>
      </c>
      <c r="G3" s="26" t="s">
        <v>182</v>
      </c>
      <c r="H3" s="19">
        <v>44250</v>
      </c>
      <c r="I3" s="19">
        <v>14200</v>
      </c>
      <c r="J3" s="16">
        <v>30.05</v>
      </c>
      <c r="K3" s="14" t="s">
        <v>115</v>
      </c>
      <c r="L3" s="14" t="s">
        <v>183</v>
      </c>
    </row>
    <row r="4" spans="1:12" ht="19.95" customHeight="1" x14ac:dyDescent="0.3">
      <c r="A4" s="20" t="s">
        <v>184</v>
      </c>
      <c r="B4" s="21" t="s">
        <v>185</v>
      </c>
      <c r="C4" s="20" t="s">
        <v>62</v>
      </c>
      <c r="D4" s="20" t="s">
        <v>186</v>
      </c>
      <c r="E4" s="21" t="s">
        <v>180</v>
      </c>
      <c r="F4" s="27" t="s">
        <v>187</v>
      </c>
      <c r="G4" s="27" t="s">
        <v>188</v>
      </c>
      <c r="H4" s="25">
        <v>44180</v>
      </c>
      <c r="I4" s="25">
        <v>14150</v>
      </c>
      <c r="J4" s="22">
        <v>30.03</v>
      </c>
      <c r="K4" s="20" t="s">
        <v>115</v>
      </c>
      <c r="L4" s="20" t="s">
        <v>183</v>
      </c>
    </row>
    <row r="5" spans="1:12" ht="19.95" customHeight="1" x14ac:dyDescent="0.3">
      <c r="A5" s="14" t="s">
        <v>189</v>
      </c>
      <c r="B5" s="15" t="s">
        <v>190</v>
      </c>
      <c r="C5" s="14" t="s">
        <v>67</v>
      </c>
      <c r="D5" s="14" t="s">
        <v>191</v>
      </c>
      <c r="E5" s="15" t="s">
        <v>192</v>
      </c>
      <c r="F5" s="26" t="s">
        <v>188</v>
      </c>
      <c r="G5" s="26" t="s">
        <v>193</v>
      </c>
      <c r="H5" s="19">
        <v>45100</v>
      </c>
      <c r="I5" s="19">
        <v>15020</v>
      </c>
      <c r="J5" s="16">
        <v>30.08</v>
      </c>
      <c r="K5" s="14" t="s">
        <v>121</v>
      </c>
      <c r="L5" s="14" t="s">
        <v>183</v>
      </c>
    </row>
    <row r="6" spans="1:12" ht="19.95" customHeight="1" x14ac:dyDescent="0.3">
      <c r="A6" s="20" t="s">
        <v>194</v>
      </c>
      <c r="B6" s="21" t="s">
        <v>195</v>
      </c>
      <c r="C6" s="20" t="s">
        <v>62</v>
      </c>
      <c r="D6" s="20" t="s">
        <v>196</v>
      </c>
      <c r="E6" s="21" t="s">
        <v>180</v>
      </c>
      <c r="F6" s="27" t="s">
        <v>197</v>
      </c>
      <c r="G6" s="27" t="s">
        <v>198</v>
      </c>
      <c r="H6" s="25">
        <v>44320</v>
      </c>
      <c r="I6" s="25">
        <v>14310</v>
      </c>
      <c r="J6" s="22">
        <v>30.01</v>
      </c>
      <c r="K6" s="20" t="s">
        <v>115</v>
      </c>
      <c r="L6" s="20" t="s">
        <v>183</v>
      </c>
    </row>
    <row r="7" spans="1:12" ht="19.95" customHeight="1" x14ac:dyDescent="0.3">
      <c r="A7" s="14" t="s">
        <v>199</v>
      </c>
      <c r="B7" s="15" t="s">
        <v>200</v>
      </c>
      <c r="C7" s="14" t="s">
        <v>70</v>
      </c>
      <c r="D7" s="14" t="s">
        <v>201</v>
      </c>
      <c r="E7" s="15" t="s">
        <v>202</v>
      </c>
      <c r="F7" s="26" t="s">
        <v>203</v>
      </c>
      <c r="G7" s="26" t="s">
        <v>204</v>
      </c>
      <c r="H7" s="19">
        <v>28500</v>
      </c>
      <c r="I7" s="19">
        <v>8500</v>
      </c>
      <c r="J7" s="16">
        <v>20</v>
      </c>
      <c r="K7" s="14" t="s">
        <v>125</v>
      </c>
      <c r="L7" s="14" t="s">
        <v>183</v>
      </c>
    </row>
    <row r="8" spans="1:12" ht="19.95" customHeight="1" x14ac:dyDescent="0.3">
      <c r="A8" s="20" t="s">
        <v>205</v>
      </c>
      <c r="B8" s="21" t="s">
        <v>206</v>
      </c>
      <c r="C8" s="20" t="s">
        <v>62</v>
      </c>
      <c r="D8" s="20" t="s">
        <v>207</v>
      </c>
      <c r="E8" s="21" t="s">
        <v>180</v>
      </c>
      <c r="F8" s="27" t="s">
        <v>208</v>
      </c>
      <c r="G8" s="27" t="s">
        <v>209</v>
      </c>
      <c r="H8" s="25">
        <v>44290</v>
      </c>
      <c r="I8" s="25">
        <v>14240</v>
      </c>
      <c r="J8" s="22">
        <v>30.05</v>
      </c>
      <c r="K8" s="20" t="s">
        <v>115</v>
      </c>
      <c r="L8" s="20" t="s">
        <v>183</v>
      </c>
    </row>
    <row r="9" spans="1:12" ht="19.95" customHeight="1" x14ac:dyDescent="0.3">
      <c r="A9" s="14" t="s">
        <v>210</v>
      </c>
      <c r="B9" s="15" t="s">
        <v>211</v>
      </c>
      <c r="C9" s="14" t="s">
        <v>62</v>
      </c>
      <c r="D9" s="14" t="s">
        <v>212</v>
      </c>
      <c r="E9" s="15" t="s">
        <v>180</v>
      </c>
      <c r="F9" s="26" t="s">
        <v>213</v>
      </c>
      <c r="G9" s="26" t="s">
        <v>214</v>
      </c>
      <c r="H9" s="19">
        <v>44150</v>
      </c>
      <c r="I9" s="19">
        <v>14190</v>
      </c>
      <c r="J9" s="16">
        <v>29.96</v>
      </c>
      <c r="K9" s="14" t="s">
        <v>115</v>
      </c>
      <c r="L9" s="14" t="s">
        <v>183</v>
      </c>
    </row>
    <row r="10" spans="1:12" ht="19.95" customHeight="1" x14ac:dyDescent="0.3">
      <c r="A10" s="20" t="s">
        <v>215</v>
      </c>
      <c r="B10" s="21" t="s">
        <v>216</v>
      </c>
      <c r="C10" s="20" t="s">
        <v>62</v>
      </c>
      <c r="D10" s="20" t="s">
        <v>179</v>
      </c>
      <c r="E10" s="21" t="s">
        <v>180</v>
      </c>
      <c r="F10" s="27" t="s">
        <v>217</v>
      </c>
      <c r="G10" s="27" t="s">
        <v>218</v>
      </c>
      <c r="H10" s="25">
        <v>44300</v>
      </c>
      <c r="I10" s="25">
        <v>14220</v>
      </c>
      <c r="J10" s="22">
        <v>30.08</v>
      </c>
      <c r="K10" s="20" t="s">
        <v>115</v>
      </c>
      <c r="L10" s="20" t="s">
        <v>183</v>
      </c>
    </row>
    <row r="11" spans="1:12" ht="19.95" customHeight="1" x14ac:dyDescent="0.3">
      <c r="A11" s="14" t="s">
        <v>219</v>
      </c>
      <c r="B11" s="15" t="s">
        <v>220</v>
      </c>
      <c r="C11" s="14" t="s">
        <v>62</v>
      </c>
      <c r="D11" s="14" t="s">
        <v>186</v>
      </c>
      <c r="E11" s="15" t="s">
        <v>180</v>
      </c>
      <c r="F11" s="26" t="s">
        <v>221</v>
      </c>
      <c r="G11" s="26" t="s">
        <v>222</v>
      </c>
      <c r="H11" s="19">
        <v>44210</v>
      </c>
      <c r="I11" s="19">
        <v>14180</v>
      </c>
      <c r="J11" s="16">
        <v>30.03</v>
      </c>
      <c r="K11" s="14" t="s">
        <v>115</v>
      </c>
      <c r="L11" s="14" t="s">
        <v>183</v>
      </c>
    </row>
    <row r="12" spans="1:12" ht="19.95" customHeight="1" x14ac:dyDescent="0.3">
      <c r="A12" s="20" t="s">
        <v>223</v>
      </c>
      <c r="B12" s="21" t="s">
        <v>224</v>
      </c>
      <c r="C12" s="20" t="s">
        <v>62</v>
      </c>
      <c r="D12" s="20" t="s">
        <v>196</v>
      </c>
      <c r="E12" s="21" t="s">
        <v>180</v>
      </c>
      <c r="F12" s="27" t="s">
        <v>225</v>
      </c>
      <c r="G12" s="27" t="s">
        <v>226</v>
      </c>
      <c r="H12" s="25">
        <v>44190</v>
      </c>
      <c r="I12" s="25">
        <v>14200</v>
      </c>
      <c r="J12" s="22">
        <v>29.99</v>
      </c>
      <c r="K12" s="20" t="s">
        <v>115</v>
      </c>
      <c r="L12" s="20" t="s">
        <v>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2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8" customWidth="1"/>
    <col min="2" max="2" width="23" customWidth="1"/>
    <col min="3" max="3" width="34" customWidth="1"/>
    <col min="4" max="4" width="19" customWidth="1"/>
    <col min="5" max="5" width="22" customWidth="1"/>
    <col min="6" max="6" width="24" customWidth="1"/>
    <col min="7" max="8" width="27" customWidth="1"/>
    <col min="9" max="9" width="22" customWidth="1"/>
    <col min="10" max="10" width="27" customWidth="1"/>
    <col min="11" max="11" width="20" customWidth="1"/>
    <col min="12" max="12" width="22" customWidth="1"/>
  </cols>
  <sheetData>
    <row r="1" spans="1:12" ht="24" customHeight="1" x14ac:dyDescent="0.3">
      <c r="A1" s="13" t="s">
        <v>227</v>
      </c>
    </row>
    <row r="2" spans="1:12" ht="28.05" customHeight="1" x14ac:dyDescent="0.3">
      <c r="A2" s="3" t="s">
        <v>228</v>
      </c>
      <c r="B2" s="3" t="s">
        <v>229</v>
      </c>
      <c r="C2" s="3" t="s">
        <v>230</v>
      </c>
      <c r="D2" s="3" t="s">
        <v>168</v>
      </c>
      <c r="E2" s="3" t="s">
        <v>231</v>
      </c>
      <c r="F2" s="3" t="s">
        <v>232</v>
      </c>
      <c r="G2" s="3" t="s">
        <v>233</v>
      </c>
      <c r="H2" s="3" t="s">
        <v>234</v>
      </c>
      <c r="I2" s="3" t="s">
        <v>235</v>
      </c>
      <c r="J2" s="3" t="s">
        <v>236</v>
      </c>
      <c r="K2" s="3" t="s">
        <v>237</v>
      </c>
      <c r="L2" s="3" t="s">
        <v>238</v>
      </c>
    </row>
    <row r="3" spans="1:12" ht="19.95" customHeight="1" x14ac:dyDescent="0.3">
      <c r="A3" s="14" t="s">
        <v>239</v>
      </c>
      <c r="B3" s="15" t="s">
        <v>240</v>
      </c>
      <c r="C3" s="15" t="s">
        <v>241</v>
      </c>
      <c r="D3" s="14" t="s">
        <v>242</v>
      </c>
      <c r="E3" s="14" t="s">
        <v>155</v>
      </c>
      <c r="F3" s="26" t="s">
        <v>188</v>
      </c>
      <c r="G3" s="26" t="s">
        <v>243</v>
      </c>
      <c r="H3" s="16">
        <v>40</v>
      </c>
      <c r="I3" s="16">
        <v>30</v>
      </c>
      <c r="J3" s="16">
        <v>10</v>
      </c>
      <c r="K3" s="14" t="s">
        <v>244</v>
      </c>
      <c r="L3" s="14" t="s">
        <v>245</v>
      </c>
    </row>
    <row r="4" spans="1:12" ht="19.95" customHeight="1" x14ac:dyDescent="0.3">
      <c r="A4" s="20" t="s">
        <v>246</v>
      </c>
      <c r="B4" s="21" t="s">
        <v>247</v>
      </c>
      <c r="C4" s="21" t="s">
        <v>248</v>
      </c>
      <c r="D4" s="20" t="s">
        <v>249</v>
      </c>
      <c r="E4" s="20" t="s">
        <v>155</v>
      </c>
      <c r="F4" s="27" t="s">
        <v>250</v>
      </c>
      <c r="G4" s="27" t="s">
        <v>204</v>
      </c>
      <c r="H4" s="22">
        <v>50</v>
      </c>
      <c r="I4" s="22">
        <v>30</v>
      </c>
      <c r="J4" s="22">
        <v>20</v>
      </c>
      <c r="K4" s="20" t="s">
        <v>244</v>
      </c>
      <c r="L4" s="20" t="s">
        <v>245</v>
      </c>
    </row>
    <row r="5" spans="1:12" ht="19.95" customHeight="1" x14ac:dyDescent="0.3">
      <c r="A5" s="14" t="s">
        <v>251</v>
      </c>
      <c r="B5" s="15" t="s">
        <v>252</v>
      </c>
      <c r="C5" s="15" t="s">
        <v>253</v>
      </c>
      <c r="D5" s="14" t="s">
        <v>254</v>
      </c>
      <c r="E5" s="14" t="s">
        <v>155</v>
      </c>
      <c r="F5" s="26" t="s">
        <v>255</v>
      </c>
      <c r="G5" s="26" t="s">
        <v>256</v>
      </c>
      <c r="H5" s="16">
        <v>60</v>
      </c>
      <c r="I5" s="16">
        <v>30</v>
      </c>
      <c r="J5" s="16">
        <v>30</v>
      </c>
      <c r="K5" s="14" t="s">
        <v>244</v>
      </c>
      <c r="L5" s="14" t="s">
        <v>245</v>
      </c>
    </row>
    <row r="6" spans="1:12" ht="19.95" customHeight="1" x14ac:dyDescent="0.3">
      <c r="A6" s="20" t="s">
        <v>257</v>
      </c>
      <c r="B6" s="21" t="s">
        <v>258</v>
      </c>
      <c r="C6" s="21" t="s">
        <v>248</v>
      </c>
      <c r="D6" s="20" t="s">
        <v>259</v>
      </c>
      <c r="E6" s="20" t="s">
        <v>155</v>
      </c>
      <c r="F6" s="27" t="s">
        <v>260</v>
      </c>
      <c r="G6" s="27" t="s">
        <v>261</v>
      </c>
      <c r="H6" s="22">
        <v>70</v>
      </c>
      <c r="I6" s="22">
        <v>30</v>
      </c>
      <c r="J6" s="22">
        <v>40</v>
      </c>
      <c r="K6" s="20" t="s">
        <v>244</v>
      </c>
      <c r="L6" s="20" t="s">
        <v>245</v>
      </c>
    </row>
    <row r="7" spans="1:12" ht="19.95" customHeight="1" x14ac:dyDescent="0.3">
      <c r="A7" s="14" t="s">
        <v>262</v>
      </c>
      <c r="B7" s="15" t="s">
        <v>263</v>
      </c>
      <c r="C7" s="15" t="s">
        <v>241</v>
      </c>
      <c r="D7" s="14" t="s">
        <v>242</v>
      </c>
      <c r="E7" s="14" t="s">
        <v>155</v>
      </c>
      <c r="F7" s="26" t="s">
        <v>264</v>
      </c>
      <c r="G7" s="26" t="s">
        <v>265</v>
      </c>
      <c r="H7" s="16">
        <v>50</v>
      </c>
      <c r="I7" s="16">
        <v>20</v>
      </c>
      <c r="J7" s="16">
        <v>30</v>
      </c>
      <c r="K7" s="14" t="s">
        <v>244</v>
      </c>
      <c r="L7" s="14" t="s">
        <v>245</v>
      </c>
    </row>
    <row r="8" spans="1:12" ht="19.95" customHeight="1" x14ac:dyDescent="0.3">
      <c r="A8" s="20" t="s">
        <v>266</v>
      </c>
      <c r="B8" s="21" t="s">
        <v>267</v>
      </c>
      <c r="C8" s="21" t="s">
        <v>253</v>
      </c>
      <c r="D8" s="20" t="s">
        <v>254</v>
      </c>
      <c r="E8" s="20" t="s">
        <v>155</v>
      </c>
      <c r="F8" s="27" t="s">
        <v>268</v>
      </c>
      <c r="G8" s="27" t="s">
        <v>269</v>
      </c>
      <c r="H8" s="22">
        <v>45</v>
      </c>
      <c r="I8" s="22">
        <v>30</v>
      </c>
      <c r="J8" s="22">
        <v>15</v>
      </c>
      <c r="K8" s="20" t="s">
        <v>244</v>
      </c>
      <c r="L8" s="20" t="s">
        <v>245</v>
      </c>
    </row>
    <row r="9" spans="1:12" ht="19.95" customHeight="1" x14ac:dyDescent="0.3">
      <c r="A9" s="14" t="s">
        <v>270</v>
      </c>
      <c r="B9" s="15" t="s">
        <v>271</v>
      </c>
      <c r="C9" s="15" t="s">
        <v>241</v>
      </c>
      <c r="D9" s="14" t="s">
        <v>242</v>
      </c>
      <c r="E9" s="14" t="s">
        <v>155</v>
      </c>
      <c r="F9" s="26" t="s">
        <v>272</v>
      </c>
      <c r="G9" s="26" t="s">
        <v>273</v>
      </c>
      <c r="H9" s="16">
        <v>55</v>
      </c>
      <c r="I9" s="16">
        <v>30</v>
      </c>
      <c r="J9" s="16">
        <v>25</v>
      </c>
      <c r="K9" s="14" t="s">
        <v>244</v>
      </c>
      <c r="L9" s="14" t="s">
        <v>245</v>
      </c>
    </row>
    <row r="10" spans="1:12" ht="19.95" customHeight="1" x14ac:dyDescent="0.3">
      <c r="A10" s="20" t="s">
        <v>274</v>
      </c>
      <c r="B10" s="21" t="s">
        <v>275</v>
      </c>
      <c r="C10" s="21" t="s">
        <v>248</v>
      </c>
      <c r="D10" s="20" t="s">
        <v>249</v>
      </c>
      <c r="E10" s="20" t="s">
        <v>155</v>
      </c>
      <c r="F10" s="27" t="s">
        <v>276</v>
      </c>
      <c r="G10" s="27" t="s">
        <v>277</v>
      </c>
      <c r="H10" s="22">
        <v>65</v>
      </c>
      <c r="I10" s="22">
        <v>30</v>
      </c>
      <c r="J10" s="22">
        <v>35</v>
      </c>
      <c r="K10" s="20" t="s">
        <v>244</v>
      </c>
      <c r="L10" s="20" t="s">
        <v>245</v>
      </c>
    </row>
    <row r="11" spans="1:12" ht="19.95" customHeight="1" x14ac:dyDescent="0.3">
      <c r="A11" s="14" t="s">
        <v>278</v>
      </c>
      <c r="B11" s="15" t="s">
        <v>279</v>
      </c>
      <c r="C11" s="15" t="s">
        <v>280</v>
      </c>
      <c r="D11" s="14" t="s">
        <v>281</v>
      </c>
      <c r="E11" s="14" t="s">
        <v>155</v>
      </c>
      <c r="F11" s="26" t="s">
        <v>282</v>
      </c>
      <c r="G11" s="26" t="s">
        <v>283</v>
      </c>
      <c r="H11" s="16">
        <v>75</v>
      </c>
      <c r="I11" s="16">
        <v>30</v>
      </c>
      <c r="J11" s="16">
        <v>45</v>
      </c>
      <c r="K11" s="14" t="s">
        <v>284</v>
      </c>
      <c r="L11" s="14" t="s">
        <v>245</v>
      </c>
    </row>
    <row r="12" spans="1:12" ht="19.95" customHeight="1" x14ac:dyDescent="0.3">
      <c r="A12" s="20" t="s">
        <v>285</v>
      </c>
      <c r="B12" s="21" t="s">
        <v>286</v>
      </c>
      <c r="C12" s="21" t="s">
        <v>241</v>
      </c>
      <c r="D12" s="20" t="s">
        <v>259</v>
      </c>
      <c r="E12" s="20" t="s">
        <v>155</v>
      </c>
      <c r="F12" s="27" t="s">
        <v>287</v>
      </c>
      <c r="G12" s="27" t="s">
        <v>288</v>
      </c>
      <c r="H12" s="22">
        <v>55</v>
      </c>
      <c r="I12" s="22">
        <v>20</v>
      </c>
      <c r="J12" s="22">
        <v>35</v>
      </c>
      <c r="K12" s="20" t="s">
        <v>244</v>
      </c>
      <c r="L12" s="20" t="s">
        <v>245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2"/>
  <sheetViews>
    <sheetView workbookViewId="0">
      <pane ySplit="2" topLeftCell="A3" activePane="bottomLeft" state="frozen"/>
      <selection pane="bottomLeft" activeCell="B28" sqref="B28"/>
    </sheetView>
  </sheetViews>
  <sheetFormatPr defaultRowHeight="14.4" x14ac:dyDescent="0.3"/>
  <cols>
    <col min="1" max="1" width="17" customWidth="1"/>
    <col min="2" max="2" width="24" customWidth="1"/>
    <col min="3" max="3" width="16" customWidth="1"/>
    <col min="4" max="4" width="29" customWidth="1"/>
    <col min="5" max="5" width="26" customWidth="1"/>
    <col min="6" max="6" width="24" customWidth="1"/>
    <col min="7" max="7" width="31" customWidth="1"/>
    <col min="8" max="8" width="27" customWidth="1"/>
    <col min="9" max="9" width="25" customWidth="1"/>
    <col min="10" max="10" width="23" customWidth="1"/>
    <col min="11" max="11" width="28" customWidth="1"/>
    <col min="12" max="12" width="18" customWidth="1"/>
  </cols>
  <sheetData>
    <row r="1" spans="1:12" ht="24" customHeight="1" x14ac:dyDescent="0.3">
      <c r="A1" s="13" t="s">
        <v>289</v>
      </c>
    </row>
    <row r="2" spans="1:12" ht="28.05" customHeight="1" x14ac:dyDescent="0.3">
      <c r="A2" s="3" t="s">
        <v>290</v>
      </c>
      <c r="B2" s="3" t="s">
        <v>291</v>
      </c>
      <c r="C2" s="3" t="s">
        <v>292</v>
      </c>
      <c r="D2" s="3" t="s">
        <v>293</v>
      </c>
      <c r="E2" s="3" t="s">
        <v>294</v>
      </c>
      <c r="F2" s="3" t="s">
        <v>295</v>
      </c>
      <c r="G2" s="3" t="s">
        <v>296</v>
      </c>
      <c r="H2" s="3" t="s">
        <v>297</v>
      </c>
      <c r="I2" s="3" t="s">
        <v>298</v>
      </c>
      <c r="J2" s="3" t="s">
        <v>299</v>
      </c>
      <c r="K2" s="3" t="s">
        <v>300</v>
      </c>
      <c r="L2" s="3" t="s">
        <v>301</v>
      </c>
    </row>
    <row r="3" spans="1:12" ht="19.95" customHeight="1" x14ac:dyDescent="0.3">
      <c r="A3" s="14" t="s">
        <v>302</v>
      </c>
      <c r="B3" s="26" t="s">
        <v>303</v>
      </c>
      <c r="C3" s="14" t="s">
        <v>304</v>
      </c>
      <c r="D3" s="16">
        <v>20</v>
      </c>
      <c r="E3" s="16">
        <v>19.8</v>
      </c>
      <c r="F3" s="28">
        <v>218.5</v>
      </c>
      <c r="G3" s="17">
        <v>92</v>
      </c>
      <c r="H3" s="16">
        <v>6.7320000000000002</v>
      </c>
      <c r="I3" s="16">
        <v>98.4</v>
      </c>
      <c r="J3" s="16">
        <v>1.2</v>
      </c>
      <c r="K3" s="14" t="s">
        <v>305</v>
      </c>
      <c r="L3" s="14" t="s">
        <v>306</v>
      </c>
    </row>
    <row r="4" spans="1:12" ht="19.95" customHeight="1" x14ac:dyDescent="0.3">
      <c r="A4" s="20" t="s">
        <v>307</v>
      </c>
      <c r="B4" s="27" t="s">
        <v>308</v>
      </c>
      <c r="C4" s="20" t="s">
        <v>304</v>
      </c>
      <c r="D4" s="22">
        <v>20</v>
      </c>
      <c r="E4" s="22">
        <v>20.100000000000001</v>
      </c>
      <c r="F4" s="29">
        <v>222</v>
      </c>
      <c r="G4" s="23">
        <v>94.5</v>
      </c>
      <c r="H4" s="22">
        <v>6.8339999999999996</v>
      </c>
      <c r="I4" s="22">
        <v>100.2</v>
      </c>
      <c r="J4" s="22">
        <v>1.25</v>
      </c>
      <c r="K4" s="20" t="s">
        <v>305</v>
      </c>
      <c r="L4" s="20" t="s">
        <v>306</v>
      </c>
    </row>
    <row r="5" spans="1:12" ht="19.95" customHeight="1" x14ac:dyDescent="0.3">
      <c r="A5" s="14" t="s">
        <v>309</v>
      </c>
      <c r="B5" s="26" t="s">
        <v>310</v>
      </c>
      <c r="C5" s="14" t="s">
        <v>304</v>
      </c>
      <c r="D5" s="16">
        <v>20</v>
      </c>
      <c r="E5" s="16">
        <v>20.05</v>
      </c>
      <c r="F5" s="28">
        <v>220.8</v>
      </c>
      <c r="G5" s="17">
        <v>93.8</v>
      </c>
      <c r="H5" s="16">
        <v>6.8170000000000002</v>
      </c>
      <c r="I5" s="16">
        <v>99.8</v>
      </c>
      <c r="J5" s="16">
        <v>1.25</v>
      </c>
      <c r="K5" s="14" t="s">
        <v>305</v>
      </c>
      <c r="L5" s="14" t="s">
        <v>306</v>
      </c>
    </row>
    <row r="6" spans="1:12" ht="19.95" customHeight="1" x14ac:dyDescent="0.3">
      <c r="A6" s="20" t="s">
        <v>311</v>
      </c>
      <c r="B6" s="27" t="s">
        <v>312</v>
      </c>
      <c r="C6" s="20" t="s">
        <v>304</v>
      </c>
      <c r="D6" s="22">
        <v>20</v>
      </c>
      <c r="E6" s="22">
        <v>20.2</v>
      </c>
      <c r="F6" s="29">
        <v>223.1</v>
      </c>
      <c r="G6" s="23">
        <v>95</v>
      </c>
      <c r="H6" s="22">
        <v>6.8680000000000003</v>
      </c>
      <c r="I6" s="22">
        <v>101.5</v>
      </c>
      <c r="J6" s="22">
        <v>1.25</v>
      </c>
      <c r="K6" s="20" t="s">
        <v>305</v>
      </c>
      <c r="L6" s="20" t="s">
        <v>306</v>
      </c>
    </row>
    <row r="7" spans="1:12" ht="19.95" customHeight="1" x14ac:dyDescent="0.3">
      <c r="A7" s="14" t="s">
        <v>313</v>
      </c>
      <c r="B7" s="26" t="s">
        <v>204</v>
      </c>
      <c r="C7" s="14" t="s">
        <v>304</v>
      </c>
      <c r="D7" s="16">
        <v>20</v>
      </c>
      <c r="E7" s="16">
        <v>19.95</v>
      </c>
      <c r="F7" s="28">
        <v>221.4</v>
      </c>
      <c r="G7" s="17">
        <v>93.2</v>
      </c>
      <c r="H7" s="16">
        <v>6.7830000000000004</v>
      </c>
      <c r="I7" s="16">
        <v>99.1</v>
      </c>
      <c r="J7" s="16">
        <v>1.2</v>
      </c>
      <c r="K7" s="14" t="s">
        <v>305</v>
      </c>
      <c r="L7" s="14" t="s">
        <v>306</v>
      </c>
    </row>
    <row r="8" spans="1:12" ht="19.95" customHeight="1" x14ac:dyDescent="0.3">
      <c r="A8" s="20" t="s">
        <v>314</v>
      </c>
      <c r="B8" s="27" t="s">
        <v>315</v>
      </c>
      <c r="C8" s="20" t="s">
        <v>304</v>
      </c>
      <c r="D8" s="22">
        <v>20</v>
      </c>
      <c r="E8" s="22">
        <v>19.7</v>
      </c>
      <c r="F8" s="29">
        <v>219</v>
      </c>
      <c r="G8" s="23">
        <v>91.5</v>
      </c>
      <c r="H8" s="22">
        <v>6.6980000000000004</v>
      </c>
      <c r="I8" s="22">
        <v>97.6</v>
      </c>
      <c r="J8" s="22">
        <v>1.2</v>
      </c>
      <c r="K8" s="20" t="s">
        <v>305</v>
      </c>
      <c r="L8" s="20" t="s">
        <v>306</v>
      </c>
    </row>
    <row r="9" spans="1:12" ht="19.95" customHeight="1" x14ac:dyDescent="0.3">
      <c r="A9" s="14" t="s">
        <v>316</v>
      </c>
      <c r="B9" s="26" t="s">
        <v>317</v>
      </c>
      <c r="C9" s="14" t="s">
        <v>304</v>
      </c>
      <c r="D9" s="16">
        <v>20</v>
      </c>
      <c r="E9" s="16">
        <v>20.2</v>
      </c>
      <c r="F9" s="28">
        <v>222.5</v>
      </c>
      <c r="G9" s="17">
        <v>94</v>
      </c>
      <c r="H9" s="16">
        <v>6.8680000000000003</v>
      </c>
      <c r="I9" s="16">
        <v>100.9</v>
      </c>
      <c r="J9" s="16">
        <v>1.25</v>
      </c>
      <c r="K9" s="14" t="s">
        <v>305</v>
      </c>
      <c r="L9" s="14" t="s">
        <v>306</v>
      </c>
    </row>
    <row r="10" spans="1:12" ht="19.95" customHeight="1" x14ac:dyDescent="0.3">
      <c r="A10" s="20" t="s">
        <v>318</v>
      </c>
      <c r="B10" s="27" t="s">
        <v>319</v>
      </c>
      <c r="C10" s="20" t="s">
        <v>304</v>
      </c>
      <c r="D10" s="22">
        <v>20</v>
      </c>
      <c r="E10" s="22">
        <v>19.850000000000001</v>
      </c>
      <c r="F10" s="29">
        <v>219.5</v>
      </c>
      <c r="G10" s="23">
        <v>92.5</v>
      </c>
      <c r="H10" s="22">
        <v>6.7489999999999997</v>
      </c>
      <c r="I10" s="22">
        <v>98.8</v>
      </c>
      <c r="J10" s="22">
        <v>1.2</v>
      </c>
      <c r="K10" s="20" t="s">
        <v>305</v>
      </c>
      <c r="L10" s="20" t="s">
        <v>306</v>
      </c>
    </row>
    <row r="11" spans="1:12" ht="19.95" customHeight="1" x14ac:dyDescent="0.3">
      <c r="A11" s="14" t="s">
        <v>320</v>
      </c>
      <c r="B11" s="26" t="s">
        <v>321</v>
      </c>
      <c r="C11" s="14" t="s">
        <v>304</v>
      </c>
      <c r="D11" s="16">
        <v>20</v>
      </c>
      <c r="E11" s="16">
        <v>20.149999999999999</v>
      </c>
      <c r="F11" s="28">
        <v>221.8</v>
      </c>
      <c r="G11" s="17">
        <v>94.2</v>
      </c>
      <c r="H11" s="16">
        <v>6.851</v>
      </c>
      <c r="I11" s="16">
        <v>100.5</v>
      </c>
      <c r="J11" s="16">
        <v>1.25</v>
      </c>
      <c r="K11" s="14" t="s">
        <v>305</v>
      </c>
      <c r="L11" s="14" t="s">
        <v>306</v>
      </c>
    </row>
    <row r="12" spans="1:12" ht="19.95" customHeight="1" x14ac:dyDescent="0.3">
      <c r="A12" s="20" t="s">
        <v>322</v>
      </c>
      <c r="B12" s="27" t="s">
        <v>269</v>
      </c>
      <c r="C12" s="20" t="s">
        <v>304</v>
      </c>
      <c r="D12" s="22">
        <v>20</v>
      </c>
      <c r="E12" s="22">
        <v>12.5</v>
      </c>
      <c r="F12" s="29">
        <v>195</v>
      </c>
      <c r="G12" s="23">
        <v>60</v>
      </c>
      <c r="H12" s="22">
        <v>4.25</v>
      </c>
      <c r="I12" s="22">
        <v>72.3</v>
      </c>
      <c r="J12" s="22">
        <v>0.75</v>
      </c>
      <c r="K12" s="20" t="s">
        <v>323</v>
      </c>
      <c r="L12" s="20" t="s">
        <v>324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2"/>
  <sheetViews>
    <sheetView tabSelected="1" topLeftCell="G1" workbookViewId="0">
      <pane ySplit="2" topLeftCell="A3" activePane="bottomLeft" state="frozen"/>
      <selection pane="bottomLeft" activeCell="M3" sqref="M3"/>
    </sheetView>
  </sheetViews>
  <sheetFormatPr defaultRowHeight="14.4" x14ac:dyDescent="0.3"/>
  <cols>
    <col min="1" max="1" width="20" customWidth="1"/>
    <col min="2" max="2" width="19" customWidth="1"/>
    <col min="3" max="3" width="16" customWidth="1"/>
    <col min="4" max="4" width="22" customWidth="1"/>
    <col min="5" max="5" width="23" customWidth="1"/>
    <col min="6" max="6" width="26" customWidth="1"/>
    <col min="7" max="8" width="25" customWidth="1"/>
    <col min="9" max="9" width="28" customWidth="1"/>
    <col min="10" max="10" width="19" customWidth="1"/>
    <col min="11" max="11" width="28.44140625" bestFit="1" customWidth="1"/>
    <col min="12" max="12" width="25" customWidth="1"/>
    <col min="13" max="13" width="26" customWidth="1"/>
    <col min="14" max="14" width="28" customWidth="1"/>
  </cols>
  <sheetData>
    <row r="1" spans="1:14" ht="24" customHeight="1" x14ac:dyDescent="0.3">
      <c r="A1" s="13" t="s">
        <v>325</v>
      </c>
    </row>
    <row r="2" spans="1:14" ht="28.05" customHeight="1" x14ac:dyDescent="0.3">
      <c r="A2" s="3" t="s">
        <v>326</v>
      </c>
      <c r="B2" s="3" t="s">
        <v>327</v>
      </c>
      <c r="C2" s="3" t="s">
        <v>292</v>
      </c>
      <c r="D2" s="3" t="s">
        <v>328</v>
      </c>
      <c r="E2" s="3" t="s">
        <v>329</v>
      </c>
      <c r="F2" s="3" t="s">
        <v>330</v>
      </c>
      <c r="G2" s="3" t="s">
        <v>331</v>
      </c>
      <c r="H2" s="3" t="s">
        <v>332</v>
      </c>
      <c r="I2" s="3" t="s">
        <v>333</v>
      </c>
      <c r="J2" s="3" t="s">
        <v>334</v>
      </c>
      <c r="K2" s="3" t="s">
        <v>450</v>
      </c>
      <c r="L2" s="3" t="s">
        <v>335</v>
      </c>
      <c r="M2" s="3" t="s">
        <v>336</v>
      </c>
      <c r="N2" s="3" t="s">
        <v>337</v>
      </c>
    </row>
    <row r="3" spans="1:14" ht="19.95" customHeight="1" x14ac:dyDescent="0.3">
      <c r="A3" s="14" t="s">
        <v>338</v>
      </c>
      <c r="B3" s="30" t="s">
        <v>339</v>
      </c>
      <c r="C3" s="14" t="s">
        <v>304</v>
      </c>
      <c r="D3" s="16">
        <v>140</v>
      </c>
      <c r="E3" s="14" t="s">
        <v>340</v>
      </c>
      <c r="F3" s="18">
        <v>501550000</v>
      </c>
      <c r="G3" s="18">
        <v>11190200</v>
      </c>
      <c r="H3" s="18">
        <v>1011220</v>
      </c>
      <c r="I3" s="18">
        <v>663320</v>
      </c>
      <c r="J3" s="18">
        <v>2675000</v>
      </c>
      <c r="K3" s="18">
        <v>139006</v>
      </c>
      <c r="L3" s="18">
        <v>691250</v>
      </c>
      <c r="M3" s="18">
        <v>1000000</v>
      </c>
      <c r="N3" s="18">
        <f>M3-L3-K3</f>
        <v>169744</v>
      </c>
    </row>
    <row r="4" spans="1:14" ht="19.95" customHeight="1" x14ac:dyDescent="0.3">
      <c r="A4" s="20" t="s">
        <v>341</v>
      </c>
      <c r="B4" s="31" t="s">
        <v>342</v>
      </c>
      <c r="C4" s="20" t="s">
        <v>304</v>
      </c>
      <c r="D4" s="22">
        <v>132.5</v>
      </c>
      <c r="E4" s="20" t="s">
        <v>340</v>
      </c>
      <c r="F4" s="24">
        <v>474681250</v>
      </c>
      <c r="G4" s="24">
        <v>10590725</v>
      </c>
      <c r="H4" s="24">
        <v>957048</v>
      </c>
      <c r="I4" s="24">
        <v>627785</v>
      </c>
      <c r="J4" s="24">
        <v>2675000</v>
      </c>
      <c r="K4" s="18">
        <v>139006</v>
      </c>
      <c r="L4" s="18">
        <v>691250</v>
      </c>
      <c r="M4" s="18">
        <v>1000000</v>
      </c>
      <c r="N4" s="18">
        <f t="shared" ref="N4:N12" si="0">M4-L4-K4</f>
        <v>169744</v>
      </c>
    </row>
    <row r="5" spans="1:14" ht="19.95" customHeight="1" x14ac:dyDescent="0.3">
      <c r="A5" s="14" t="s">
        <v>343</v>
      </c>
      <c r="B5" s="30" t="s">
        <v>344</v>
      </c>
      <c r="C5" s="14" t="s">
        <v>304</v>
      </c>
      <c r="D5" s="16">
        <v>140</v>
      </c>
      <c r="E5" s="14" t="s">
        <v>340</v>
      </c>
      <c r="F5" s="18">
        <v>501550000</v>
      </c>
      <c r="G5" s="18">
        <v>11190200</v>
      </c>
      <c r="H5" s="18">
        <v>1011220</v>
      </c>
      <c r="I5" s="18">
        <v>663320</v>
      </c>
      <c r="J5" s="18">
        <v>2675000</v>
      </c>
      <c r="K5" s="18">
        <v>139006</v>
      </c>
      <c r="L5" s="18">
        <v>691250</v>
      </c>
      <c r="M5" s="18">
        <v>1000000</v>
      </c>
      <c r="N5" s="18">
        <f t="shared" si="0"/>
        <v>169744</v>
      </c>
    </row>
    <row r="6" spans="1:14" ht="19.95" customHeight="1" x14ac:dyDescent="0.3">
      <c r="A6" s="20" t="s">
        <v>345</v>
      </c>
      <c r="B6" s="31" t="s">
        <v>346</v>
      </c>
      <c r="C6" s="20" t="s">
        <v>304</v>
      </c>
      <c r="D6" s="22">
        <v>140</v>
      </c>
      <c r="E6" s="20" t="s">
        <v>347</v>
      </c>
      <c r="F6" s="24">
        <v>501550000</v>
      </c>
      <c r="G6" s="24">
        <v>13342140</v>
      </c>
      <c r="H6" s="24">
        <v>1011220</v>
      </c>
      <c r="I6" s="24">
        <v>663320</v>
      </c>
      <c r="J6" s="24">
        <v>2675000</v>
      </c>
      <c r="K6" s="18">
        <v>139006</v>
      </c>
      <c r="L6" s="18">
        <v>691250</v>
      </c>
      <c r="M6" s="18">
        <v>1000000</v>
      </c>
      <c r="N6" s="18">
        <f t="shared" si="0"/>
        <v>169744</v>
      </c>
    </row>
    <row r="7" spans="1:14" ht="19.95" customHeight="1" x14ac:dyDescent="0.3">
      <c r="A7" s="14" t="s">
        <v>348</v>
      </c>
      <c r="B7" s="30" t="s">
        <v>349</v>
      </c>
      <c r="C7" s="14" t="s">
        <v>304</v>
      </c>
      <c r="D7" s="16">
        <v>140</v>
      </c>
      <c r="E7" s="14" t="s">
        <v>340</v>
      </c>
      <c r="F7" s="18">
        <v>501550000</v>
      </c>
      <c r="G7" s="18">
        <v>11190200</v>
      </c>
      <c r="H7" s="18">
        <v>1011220</v>
      </c>
      <c r="I7" s="18">
        <v>663320</v>
      </c>
      <c r="J7" s="18">
        <v>2675000</v>
      </c>
      <c r="K7" s="18">
        <v>139006</v>
      </c>
      <c r="L7" s="18">
        <v>691250</v>
      </c>
      <c r="M7" s="18">
        <v>1000000</v>
      </c>
      <c r="N7" s="18">
        <f t="shared" si="0"/>
        <v>169744</v>
      </c>
    </row>
    <row r="8" spans="1:14" ht="19.95" customHeight="1" x14ac:dyDescent="0.3">
      <c r="A8" s="20" t="s">
        <v>350</v>
      </c>
      <c r="B8" s="31" t="s">
        <v>351</v>
      </c>
      <c r="C8" s="20" t="s">
        <v>304</v>
      </c>
      <c r="D8" s="22">
        <v>140</v>
      </c>
      <c r="E8" s="20" t="s">
        <v>340</v>
      </c>
      <c r="F8" s="24">
        <v>501550000</v>
      </c>
      <c r="G8" s="24">
        <v>11190200</v>
      </c>
      <c r="H8" s="24">
        <v>1011220</v>
      </c>
      <c r="I8" s="24">
        <v>663320</v>
      </c>
      <c r="J8" s="24">
        <v>2675000</v>
      </c>
      <c r="K8" s="18">
        <v>139006</v>
      </c>
      <c r="L8" s="18">
        <v>691250</v>
      </c>
      <c r="M8" s="18">
        <v>1000000</v>
      </c>
      <c r="N8" s="18">
        <f t="shared" si="0"/>
        <v>169744</v>
      </c>
    </row>
    <row r="9" spans="1:14" ht="19.95" customHeight="1" x14ac:dyDescent="0.3">
      <c r="A9" s="14" t="s">
        <v>352</v>
      </c>
      <c r="B9" s="30" t="s">
        <v>353</v>
      </c>
      <c r="C9" s="14" t="s">
        <v>304</v>
      </c>
      <c r="D9" s="16">
        <v>140</v>
      </c>
      <c r="E9" s="14" t="s">
        <v>340</v>
      </c>
      <c r="F9" s="18">
        <v>501550000</v>
      </c>
      <c r="G9" s="18">
        <v>11190200</v>
      </c>
      <c r="H9" s="18">
        <v>1011220</v>
      </c>
      <c r="I9" s="18">
        <v>663320</v>
      </c>
      <c r="J9" s="18">
        <v>2675000</v>
      </c>
      <c r="K9" s="18">
        <v>139006</v>
      </c>
      <c r="L9" s="18">
        <v>691250</v>
      </c>
      <c r="M9" s="18">
        <v>1000000</v>
      </c>
      <c r="N9" s="18">
        <f t="shared" si="0"/>
        <v>169744</v>
      </c>
    </row>
    <row r="10" spans="1:14" ht="19.95" customHeight="1" x14ac:dyDescent="0.3">
      <c r="A10" s="20" t="s">
        <v>354</v>
      </c>
      <c r="B10" s="31" t="s">
        <v>355</v>
      </c>
      <c r="C10" s="20" t="s">
        <v>304</v>
      </c>
      <c r="D10" s="22">
        <v>140</v>
      </c>
      <c r="E10" s="20" t="s">
        <v>340</v>
      </c>
      <c r="F10" s="24">
        <v>501550000</v>
      </c>
      <c r="G10" s="24">
        <v>11190200</v>
      </c>
      <c r="H10" s="24">
        <v>1011220</v>
      </c>
      <c r="I10" s="24">
        <v>663320</v>
      </c>
      <c r="J10" s="24">
        <v>2675000</v>
      </c>
      <c r="K10" s="18">
        <v>139006</v>
      </c>
      <c r="L10" s="18">
        <v>691250</v>
      </c>
      <c r="M10" s="18">
        <v>1000000</v>
      </c>
      <c r="N10" s="18">
        <f t="shared" si="0"/>
        <v>169744</v>
      </c>
    </row>
    <row r="11" spans="1:14" ht="19.95" customHeight="1" x14ac:dyDescent="0.3">
      <c r="A11" s="14" t="s">
        <v>356</v>
      </c>
      <c r="B11" s="30" t="s">
        <v>357</v>
      </c>
      <c r="C11" s="14" t="s">
        <v>304</v>
      </c>
      <c r="D11" s="16">
        <v>140</v>
      </c>
      <c r="E11" s="14" t="s">
        <v>340</v>
      </c>
      <c r="F11" s="18">
        <v>501550000</v>
      </c>
      <c r="G11" s="18">
        <v>11190200</v>
      </c>
      <c r="H11" s="18">
        <v>1011220</v>
      </c>
      <c r="I11" s="18">
        <v>663320</v>
      </c>
      <c r="J11" s="18">
        <v>2675000</v>
      </c>
      <c r="K11" s="18">
        <v>139006</v>
      </c>
      <c r="L11" s="18">
        <v>691250</v>
      </c>
      <c r="M11" s="18">
        <v>1000000</v>
      </c>
      <c r="N11" s="18">
        <f t="shared" si="0"/>
        <v>169744</v>
      </c>
    </row>
    <row r="12" spans="1:14" ht="19.95" customHeight="1" x14ac:dyDescent="0.3">
      <c r="A12" s="20" t="s">
        <v>358</v>
      </c>
      <c r="B12" s="31" t="s">
        <v>359</v>
      </c>
      <c r="C12" s="20" t="s">
        <v>304</v>
      </c>
      <c r="D12" s="22">
        <v>140</v>
      </c>
      <c r="E12" s="20" t="s">
        <v>340</v>
      </c>
      <c r="F12" s="24">
        <v>501550000</v>
      </c>
      <c r="G12" s="24">
        <v>11190200</v>
      </c>
      <c r="H12" s="24">
        <v>1011220</v>
      </c>
      <c r="I12" s="24">
        <v>663320</v>
      </c>
      <c r="J12" s="24">
        <v>2675000</v>
      </c>
      <c r="K12" s="18">
        <v>139006</v>
      </c>
      <c r="L12" s="18">
        <v>691250</v>
      </c>
      <c r="M12" s="18">
        <v>1000000</v>
      </c>
      <c r="N12" s="18">
        <f>M12-L12-K12</f>
        <v>169744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2"/>
  <sheetViews>
    <sheetView workbookViewId="0">
      <pane ySplit="2" topLeftCell="A3" activePane="bottomLeft" state="frozen"/>
      <selection pane="bottomLeft" activeCell="C28" sqref="C28"/>
    </sheetView>
  </sheetViews>
  <sheetFormatPr defaultRowHeight="14.4" x14ac:dyDescent="0.3"/>
  <cols>
    <col min="1" max="1" width="18" customWidth="1"/>
    <col min="2" max="2" width="24" customWidth="1"/>
    <col min="3" max="3" width="60" customWidth="1"/>
    <col min="4" max="5" width="24" customWidth="1"/>
    <col min="6" max="6" width="15" customWidth="1"/>
    <col min="7" max="7" width="22" customWidth="1"/>
    <col min="8" max="8" width="28" customWidth="1"/>
    <col min="9" max="9" width="29" customWidth="1"/>
    <col min="10" max="10" width="30" customWidth="1"/>
    <col min="11" max="11" width="22" customWidth="1"/>
    <col min="12" max="12" width="58" customWidth="1"/>
  </cols>
  <sheetData>
    <row r="1" spans="1:12" ht="24" customHeight="1" x14ac:dyDescent="0.3">
      <c r="A1" s="13" t="s">
        <v>360</v>
      </c>
    </row>
    <row r="2" spans="1:12" ht="28.05" customHeight="1" x14ac:dyDescent="0.3">
      <c r="A2" s="3" t="s">
        <v>361</v>
      </c>
      <c r="B2" s="3" t="s">
        <v>362</v>
      </c>
      <c r="C2" s="3" t="s">
        <v>363</v>
      </c>
      <c r="D2" s="3" t="s">
        <v>364</v>
      </c>
      <c r="E2" s="3" t="s">
        <v>365</v>
      </c>
      <c r="F2" s="3" t="s">
        <v>366</v>
      </c>
      <c r="G2" s="3" t="s">
        <v>367</v>
      </c>
      <c r="H2" s="3" t="s">
        <v>368</v>
      </c>
      <c r="I2" s="3" t="s">
        <v>449</v>
      </c>
      <c r="J2" s="3" t="s">
        <v>369</v>
      </c>
      <c r="K2" s="3" t="s">
        <v>370</v>
      </c>
      <c r="L2" s="3" t="s">
        <v>371</v>
      </c>
    </row>
    <row r="3" spans="1:12" ht="19.95" customHeight="1" x14ac:dyDescent="0.3">
      <c r="A3" s="14" t="s">
        <v>372</v>
      </c>
      <c r="B3" s="14" t="s">
        <v>373</v>
      </c>
      <c r="C3" s="15" t="s">
        <v>374</v>
      </c>
      <c r="D3" s="26" t="s">
        <v>375</v>
      </c>
      <c r="E3" s="26" t="s">
        <v>376</v>
      </c>
      <c r="F3" s="16">
        <v>3.5</v>
      </c>
      <c r="G3" s="16">
        <v>70</v>
      </c>
      <c r="H3" s="18">
        <v>1337500</v>
      </c>
      <c r="I3" s="18">
        <f>F3*telemetri_produksi_scada!H3*master_bahan_baku!F11</f>
        <v>4096960.56</v>
      </c>
      <c r="J3" s="18">
        <f>G3*biaya_siklus_hpp!N3</f>
        <v>11882080</v>
      </c>
      <c r="K3" s="18">
        <f>SUM(H3:J3)</f>
        <v>17316540.560000002</v>
      </c>
      <c r="L3" s="15" t="s">
        <v>377</v>
      </c>
    </row>
    <row r="4" spans="1:12" ht="19.95" customHeight="1" x14ac:dyDescent="0.3">
      <c r="A4" s="20" t="s">
        <v>378</v>
      </c>
      <c r="B4" s="20" t="s">
        <v>379</v>
      </c>
      <c r="C4" s="21" t="s">
        <v>380</v>
      </c>
      <c r="D4" s="27" t="s">
        <v>381</v>
      </c>
      <c r="E4" s="27" t="s">
        <v>382</v>
      </c>
      <c r="F4" s="22">
        <v>2</v>
      </c>
      <c r="G4" s="22">
        <v>40</v>
      </c>
      <c r="H4" s="24">
        <v>764286</v>
      </c>
      <c r="I4" s="24">
        <f>F4*telemetri_produksi_scada!H4*master_bahan_baku!F11</f>
        <v>2376591.84</v>
      </c>
      <c r="J4" s="18">
        <f>G4*biaya_siklus_hpp!N4</f>
        <v>6789760</v>
      </c>
      <c r="K4" s="18">
        <f t="shared" ref="K4:K12" si="0">SUM(H4:J4)</f>
        <v>9930637.8399999999</v>
      </c>
      <c r="L4" s="21" t="s">
        <v>383</v>
      </c>
    </row>
    <row r="5" spans="1:12" ht="19.95" customHeight="1" x14ac:dyDescent="0.3">
      <c r="A5" s="14" t="s">
        <v>384</v>
      </c>
      <c r="B5" s="14" t="s">
        <v>385</v>
      </c>
      <c r="C5" s="15" t="s">
        <v>386</v>
      </c>
      <c r="D5" s="26" t="s">
        <v>387</v>
      </c>
      <c r="E5" s="26" t="s">
        <v>388</v>
      </c>
      <c r="F5" s="16">
        <v>2.5</v>
      </c>
      <c r="G5" s="16">
        <v>50</v>
      </c>
      <c r="H5" s="18">
        <v>955357</v>
      </c>
      <c r="I5" s="18">
        <f>F5*telemetri_produksi_scada!H5*master_bahan_baku!F11</f>
        <v>2963349.9</v>
      </c>
      <c r="J5" s="18">
        <f>G5*biaya_siklus_hpp!N5</f>
        <v>8487200</v>
      </c>
      <c r="K5" s="18">
        <f t="shared" si="0"/>
        <v>12405906.9</v>
      </c>
      <c r="L5" s="15" t="s">
        <v>389</v>
      </c>
    </row>
    <row r="6" spans="1:12" ht="19.95" customHeight="1" x14ac:dyDescent="0.3">
      <c r="A6" s="20" t="s">
        <v>390</v>
      </c>
      <c r="B6" s="20" t="s">
        <v>379</v>
      </c>
      <c r="C6" s="21" t="s">
        <v>391</v>
      </c>
      <c r="D6" s="27" t="s">
        <v>392</v>
      </c>
      <c r="E6" s="27" t="s">
        <v>393</v>
      </c>
      <c r="F6" s="22">
        <v>1.5</v>
      </c>
      <c r="G6" s="22">
        <v>30</v>
      </c>
      <c r="H6" s="24">
        <v>573214</v>
      </c>
      <c r="I6" s="24">
        <f>F6*telemetri_produksi_scada!H6*master_bahan_baku!F12</f>
        <v>2874258</v>
      </c>
      <c r="J6" s="18">
        <f>G6*biaya_siklus_hpp!N6</f>
        <v>5092320</v>
      </c>
      <c r="K6" s="18">
        <f t="shared" si="0"/>
        <v>8539792</v>
      </c>
      <c r="L6" s="21" t="s">
        <v>394</v>
      </c>
    </row>
    <row r="7" spans="1:12" ht="19.95" customHeight="1" x14ac:dyDescent="0.3">
      <c r="A7" s="14" t="s">
        <v>395</v>
      </c>
      <c r="B7" s="14" t="s">
        <v>373</v>
      </c>
      <c r="C7" s="15" t="s">
        <v>396</v>
      </c>
      <c r="D7" s="26" t="s">
        <v>397</v>
      </c>
      <c r="E7" s="26" t="s">
        <v>398</v>
      </c>
      <c r="F7" s="16">
        <v>1.5</v>
      </c>
      <c r="G7" s="16">
        <v>30</v>
      </c>
      <c r="H7" s="18">
        <v>573214</v>
      </c>
      <c r="I7" s="18">
        <f>F7*telemetri_produksi_scada!H7*master_bahan_baku!F11</f>
        <v>1769142.06</v>
      </c>
      <c r="J7" s="18">
        <f>G7*biaya_siklus_hpp!N7</f>
        <v>5092320</v>
      </c>
      <c r="K7" s="18">
        <f t="shared" si="0"/>
        <v>7434676.0600000005</v>
      </c>
      <c r="L7" s="15" t="s">
        <v>399</v>
      </c>
    </row>
    <row r="8" spans="1:12" ht="19.95" customHeight="1" x14ac:dyDescent="0.3">
      <c r="A8" s="20" t="s">
        <v>400</v>
      </c>
      <c r="B8" s="20" t="s">
        <v>379</v>
      </c>
      <c r="C8" s="21" t="s">
        <v>401</v>
      </c>
      <c r="D8" s="27" t="s">
        <v>402</v>
      </c>
      <c r="E8" s="27" t="s">
        <v>403</v>
      </c>
      <c r="F8" s="22">
        <v>0.75</v>
      </c>
      <c r="G8" s="22">
        <v>15</v>
      </c>
      <c r="H8" s="24">
        <v>286607</v>
      </c>
      <c r="I8" s="24">
        <f>F8*telemetri_produksi_scada!H8*master_bahan_baku!F11</f>
        <v>873486.18</v>
      </c>
      <c r="J8" s="18">
        <f>G8*biaya_siklus_hpp!N8</f>
        <v>2546160</v>
      </c>
      <c r="K8" s="18">
        <f t="shared" si="0"/>
        <v>3706253.18</v>
      </c>
      <c r="L8" s="21" t="s">
        <v>404</v>
      </c>
    </row>
    <row r="9" spans="1:12" ht="19.95" customHeight="1" x14ac:dyDescent="0.3">
      <c r="A9" s="14" t="s">
        <v>405</v>
      </c>
      <c r="B9" s="14" t="s">
        <v>385</v>
      </c>
      <c r="C9" s="15" t="s">
        <v>406</v>
      </c>
      <c r="D9" s="26" t="s">
        <v>407</v>
      </c>
      <c r="E9" s="26" t="s">
        <v>408</v>
      </c>
      <c r="F9" s="16">
        <v>1</v>
      </c>
      <c r="G9" s="16">
        <v>20</v>
      </c>
      <c r="H9" s="18">
        <v>382143</v>
      </c>
      <c r="I9" s="18">
        <f>F9*telemetri_produksi_scada!H9*master_bahan_baku!F11</f>
        <v>1194207.8400000001</v>
      </c>
      <c r="J9" s="18">
        <f>G9*biaya_siklus_hpp!N9</f>
        <v>3394880</v>
      </c>
      <c r="K9" s="18">
        <f t="shared" si="0"/>
        <v>4971230.84</v>
      </c>
      <c r="L9" s="15" t="s">
        <v>409</v>
      </c>
    </row>
    <row r="10" spans="1:12" ht="19.95" customHeight="1" x14ac:dyDescent="0.3">
      <c r="A10" s="20" t="s">
        <v>410</v>
      </c>
      <c r="B10" s="20" t="s">
        <v>373</v>
      </c>
      <c r="C10" s="21" t="s">
        <v>411</v>
      </c>
      <c r="D10" s="27" t="s">
        <v>412</v>
      </c>
      <c r="E10" s="27" t="s">
        <v>413</v>
      </c>
      <c r="F10" s="22">
        <v>2</v>
      </c>
      <c r="G10" s="22">
        <v>40</v>
      </c>
      <c r="H10" s="24">
        <v>764286</v>
      </c>
      <c r="I10" s="24">
        <f>F10*telemetri_produksi_scada!H10*master_bahan_baku!F11</f>
        <v>2347032.2399999998</v>
      </c>
      <c r="J10" s="18">
        <f>G10*biaya_siklus_hpp!N10</f>
        <v>6789760</v>
      </c>
      <c r="K10" s="18">
        <f t="shared" si="0"/>
        <v>9901078.2400000002</v>
      </c>
      <c r="L10" s="21" t="s">
        <v>414</v>
      </c>
    </row>
    <row r="11" spans="1:12" ht="19.95" customHeight="1" x14ac:dyDescent="0.3">
      <c r="A11" s="14" t="s">
        <v>415</v>
      </c>
      <c r="B11" s="14" t="s">
        <v>379</v>
      </c>
      <c r="C11" s="15" t="s">
        <v>416</v>
      </c>
      <c r="D11" s="26" t="s">
        <v>417</v>
      </c>
      <c r="E11" s="26" t="s">
        <v>418</v>
      </c>
      <c r="F11" s="16">
        <v>1</v>
      </c>
      <c r="G11" s="16">
        <v>20</v>
      </c>
      <c r="H11" s="18">
        <v>382143</v>
      </c>
      <c r="I11" s="18">
        <f>F11*telemetri_produksi_scada!H11*master_bahan_baku!F11</f>
        <v>1191251.8799999999</v>
      </c>
      <c r="J11" s="18">
        <f>G11*biaya_siklus_hpp!N11</f>
        <v>3394880</v>
      </c>
      <c r="K11" s="18">
        <f t="shared" si="0"/>
        <v>4968274.88</v>
      </c>
      <c r="L11" s="15" t="s">
        <v>419</v>
      </c>
    </row>
    <row r="12" spans="1:12" ht="19.95" customHeight="1" x14ac:dyDescent="0.3">
      <c r="A12" s="20" t="s">
        <v>420</v>
      </c>
      <c r="B12" s="20" t="s">
        <v>373</v>
      </c>
      <c r="C12" s="21" t="s">
        <v>421</v>
      </c>
      <c r="D12" s="27" t="s">
        <v>422</v>
      </c>
      <c r="E12" s="27" t="s">
        <v>423</v>
      </c>
      <c r="F12" s="22">
        <v>2.5</v>
      </c>
      <c r="G12" s="22">
        <v>50</v>
      </c>
      <c r="H12" s="24">
        <v>955357</v>
      </c>
      <c r="I12" s="24">
        <f>F12*telemetri_produksi_scada!H12*master_bahan_baku!F11</f>
        <v>1847475</v>
      </c>
      <c r="J12" s="18">
        <f>G12*biaya_siklus_hpp!N12</f>
        <v>8487200</v>
      </c>
      <c r="K12" s="18">
        <f t="shared" si="0"/>
        <v>11290032</v>
      </c>
      <c r="L12" s="21" t="s">
        <v>424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2"/>
  <sheetViews>
    <sheetView workbookViewId="0">
      <pane ySplit="2" topLeftCell="A3" activePane="bottomLeft" state="frozen"/>
      <selection pane="bottomLeft" activeCell="J3" sqref="J3"/>
    </sheetView>
  </sheetViews>
  <sheetFormatPr defaultRowHeight="14.4" x14ac:dyDescent="0.3"/>
  <cols>
    <col min="1" max="1" width="17" customWidth="1"/>
    <col min="2" max="2" width="15" customWidth="1"/>
    <col min="3" max="3" width="28" customWidth="1"/>
    <col min="4" max="4" width="30" customWidth="1"/>
    <col min="5" max="5" width="22" customWidth="1"/>
    <col min="6" max="6" width="23" customWidth="1"/>
    <col min="7" max="7" width="22" customWidth="1"/>
    <col min="8" max="8" width="23" customWidth="1"/>
    <col min="9" max="9" width="28" customWidth="1"/>
    <col min="10" max="10" width="34" customWidth="1"/>
    <col min="11" max="11" width="25" customWidth="1"/>
    <col min="12" max="12" width="29" customWidth="1"/>
    <col min="13" max="13" width="26" customWidth="1"/>
  </cols>
  <sheetData>
    <row r="1" spans="1:13" ht="24" customHeight="1" x14ac:dyDescent="0.3">
      <c r="A1" s="13" t="s">
        <v>425</v>
      </c>
    </row>
    <row r="2" spans="1:13" ht="28.05" customHeight="1" x14ac:dyDescent="0.3">
      <c r="A2" s="3" t="s">
        <v>426</v>
      </c>
      <c r="B2" s="3" t="s">
        <v>427</v>
      </c>
      <c r="C2" s="3" t="s">
        <v>428</v>
      </c>
      <c r="D2" s="3" t="s">
        <v>429</v>
      </c>
      <c r="E2" s="3" t="s">
        <v>430</v>
      </c>
      <c r="F2" s="3" t="s">
        <v>431</v>
      </c>
      <c r="G2" s="3" t="s">
        <v>432</v>
      </c>
      <c r="H2" s="3" t="s">
        <v>433</v>
      </c>
      <c r="I2" s="3" t="s">
        <v>434</v>
      </c>
      <c r="J2" s="3" t="s">
        <v>435</v>
      </c>
      <c r="K2" s="3" t="s">
        <v>436</v>
      </c>
      <c r="L2" s="3" t="s">
        <v>437</v>
      </c>
      <c r="M2" s="3" t="s">
        <v>438</v>
      </c>
    </row>
    <row r="3" spans="1:13" ht="19.95" customHeight="1" x14ac:dyDescent="0.3">
      <c r="A3" s="14" t="s">
        <v>439</v>
      </c>
      <c r="B3" s="30" t="s">
        <v>339</v>
      </c>
      <c r="C3" s="16">
        <v>7</v>
      </c>
      <c r="D3" s="16">
        <v>140</v>
      </c>
      <c r="E3" s="16">
        <v>140</v>
      </c>
      <c r="F3" s="17">
        <v>100</v>
      </c>
      <c r="G3" s="19">
        <v>7</v>
      </c>
      <c r="H3" s="19">
        <v>5</v>
      </c>
      <c r="I3" s="18">
        <v>2151940</v>
      </c>
      <c r="J3" s="18">
        <v>0</v>
      </c>
      <c r="K3" s="18">
        <v>90355300</v>
      </c>
      <c r="L3" s="18">
        <v>45177650</v>
      </c>
      <c r="M3" s="17">
        <v>0.88</v>
      </c>
    </row>
    <row r="4" spans="1:13" ht="19.95" customHeight="1" x14ac:dyDescent="0.3">
      <c r="A4" s="20" t="s">
        <v>440</v>
      </c>
      <c r="B4" s="31" t="s">
        <v>342</v>
      </c>
      <c r="C4" s="22">
        <v>6.63</v>
      </c>
      <c r="D4" s="22">
        <v>132.5</v>
      </c>
      <c r="E4" s="22">
        <v>140</v>
      </c>
      <c r="F4" s="23">
        <v>94.64</v>
      </c>
      <c r="G4" s="25">
        <v>6</v>
      </c>
      <c r="H4" s="25">
        <v>5</v>
      </c>
      <c r="I4" s="24">
        <v>2036657</v>
      </c>
      <c r="J4" s="24">
        <v>46515150</v>
      </c>
      <c r="K4" s="24">
        <v>85516368</v>
      </c>
      <c r="L4" s="24">
        <v>87935834</v>
      </c>
      <c r="M4" s="23">
        <v>1.71</v>
      </c>
    </row>
    <row r="5" spans="1:13" ht="19.95" customHeight="1" x14ac:dyDescent="0.3">
      <c r="A5" s="14" t="s">
        <v>441</v>
      </c>
      <c r="B5" s="30" t="s">
        <v>344</v>
      </c>
      <c r="C5" s="16">
        <v>7</v>
      </c>
      <c r="D5" s="16">
        <v>140</v>
      </c>
      <c r="E5" s="16">
        <v>140</v>
      </c>
      <c r="F5" s="17">
        <v>100</v>
      </c>
      <c r="G5" s="19">
        <v>7</v>
      </c>
      <c r="H5" s="19">
        <v>5</v>
      </c>
      <c r="I5" s="18">
        <v>2151940</v>
      </c>
      <c r="J5" s="18">
        <v>43795476</v>
      </c>
      <c r="K5" s="18">
        <v>90355300</v>
      </c>
      <c r="L5" s="18">
        <v>133113484</v>
      </c>
      <c r="M5" s="17">
        <v>2.58</v>
      </c>
    </row>
    <row r="6" spans="1:13" ht="19.95" customHeight="1" x14ac:dyDescent="0.3">
      <c r="A6" s="20" t="s">
        <v>442</v>
      </c>
      <c r="B6" s="31" t="s">
        <v>346</v>
      </c>
      <c r="C6" s="22">
        <v>7</v>
      </c>
      <c r="D6" s="22">
        <v>140</v>
      </c>
      <c r="E6" s="22">
        <v>140</v>
      </c>
      <c r="F6" s="23">
        <v>100</v>
      </c>
      <c r="G6" s="25">
        <v>6</v>
      </c>
      <c r="H6" s="25">
        <v>5</v>
      </c>
      <c r="I6" s="24">
        <v>0</v>
      </c>
      <c r="J6" s="24">
        <v>53725107</v>
      </c>
      <c r="K6" s="24">
        <v>87989160</v>
      </c>
      <c r="L6" s="24">
        <v>177108064</v>
      </c>
      <c r="M6" s="23">
        <v>3.44</v>
      </c>
    </row>
    <row r="7" spans="1:13" ht="19.95" customHeight="1" x14ac:dyDescent="0.3">
      <c r="A7" s="14" t="s">
        <v>443</v>
      </c>
      <c r="B7" s="30" t="s">
        <v>349</v>
      </c>
      <c r="C7" s="16">
        <v>7</v>
      </c>
      <c r="D7" s="16">
        <v>140</v>
      </c>
      <c r="E7" s="16">
        <v>140</v>
      </c>
      <c r="F7" s="17">
        <v>100</v>
      </c>
      <c r="G7" s="19">
        <v>7</v>
      </c>
      <c r="H7" s="19">
        <v>5</v>
      </c>
      <c r="I7" s="18">
        <v>2151940</v>
      </c>
      <c r="J7" s="18">
        <v>37150454</v>
      </c>
      <c r="K7" s="18">
        <v>90355300</v>
      </c>
      <c r="L7" s="18">
        <v>222285714</v>
      </c>
      <c r="M7" s="17">
        <v>4.32</v>
      </c>
    </row>
    <row r="8" spans="1:13" ht="19.95" customHeight="1" x14ac:dyDescent="0.3">
      <c r="A8" s="20" t="s">
        <v>444</v>
      </c>
      <c r="B8" s="31" t="s">
        <v>351</v>
      </c>
      <c r="C8" s="22">
        <v>7</v>
      </c>
      <c r="D8" s="22">
        <v>140</v>
      </c>
      <c r="E8" s="22">
        <v>140</v>
      </c>
      <c r="F8" s="23">
        <v>100</v>
      </c>
      <c r="G8" s="25">
        <v>7</v>
      </c>
      <c r="H8" s="25">
        <v>5</v>
      </c>
      <c r="I8" s="24">
        <v>2151940</v>
      </c>
      <c r="J8" s="24">
        <v>19935064</v>
      </c>
      <c r="K8" s="24">
        <v>90355300</v>
      </c>
      <c r="L8" s="24">
        <v>267463364</v>
      </c>
      <c r="M8" s="23">
        <v>5.19</v>
      </c>
    </row>
    <row r="9" spans="1:13" ht="19.95" customHeight="1" x14ac:dyDescent="0.3">
      <c r="A9" s="14" t="s">
        <v>445</v>
      </c>
      <c r="B9" s="30" t="s">
        <v>353</v>
      </c>
      <c r="C9" s="16">
        <v>7</v>
      </c>
      <c r="D9" s="16">
        <v>140</v>
      </c>
      <c r="E9" s="16">
        <v>140</v>
      </c>
      <c r="F9" s="17">
        <v>100</v>
      </c>
      <c r="G9" s="19">
        <v>7</v>
      </c>
      <c r="H9" s="19">
        <v>5</v>
      </c>
      <c r="I9" s="18">
        <v>2151940</v>
      </c>
      <c r="J9" s="18">
        <v>18575227</v>
      </c>
      <c r="K9" s="18">
        <v>90355300</v>
      </c>
      <c r="L9" s="18">
        <v>312641014</v>
      </c>
      <c r="M9" s="17">
        <v>6.07</v>
      </c>
    </row>
    <row r="10" spans="1:13" ht="19.95" customHeight="1" x14ac:dyDescent="0.3">
      <c r="A10" s="20" t="s">
        <v>446</v>
      </c>
      <c r="B10" s="31" t="s">
        <v>355</v>
      </c>
      <c r="C10" s="22">
        <v>7</v>
      </c>
      <c r="D10" s="22">
        <v>140</v>
      </c>
      <c r="E10" s="22">
        <v>140</v>
      </c>
      <c r="F10" s="23">
        <v>100</v>
      </c>
      <c r="G10" s="25">
        <v>7</v>
      </c>
      <c r="H10" s="25">
        <v>5</v>
      </c>
      <c r="I10" s="24">
        <v>2151940</v>
      </c>
      <c r="J10" s="24">
        <v>30505433</v>
      </c>
      <c r="K10" s="24">
        <v>90355300</v>
      </c>
      <c r="L10" s="24">
        <v>357818664</v>
      </c>
      <c r="M10" s="23">
        <v>6.95</v>
      </c>
    </row>
    <row r="11" spans="1:13" ht="19.95" customHeight="1" x14ac:dyDescent="0.3">
      <c r="A11" s="14" t="s">
        <v>447</v>
      </c>
      <c r="B11" s="30" t="s">
        <v>357</v>
      </c>
      <c r="C11" s="16">
        <v>7</v>
      </c>
      <c r="D11" s="16">
        <v>140</v>
      </c>
      <c r="E11" s="16">
        <v>140</v>
      </c>
      <c r="F11" s="17">
        <v>100</v>
      </c>
      <c r="G11" s="19">
        <v>7</v>
      </c>
      <c r="H11" s="19">
        <v>5</v>
      </c>
      <c r="I11" s="18">
        <v>2151940</v>
      </c>
      <c r="J11" s="18">
        <v>26580086</v>
      </c>
      <c r="K11" s="18">
        <v>90355300</v>
      </c>
      <c r="L11" s="18">
        <v>402996314</v>
      </c>
      <c r="M11" s="17">
        <v>7.83</v>
      </c>
    </row>
    <row r="12" spans="1:13" ht="19.95" customHeight="1" x14ac:dyDescent="0.3">
      <c r="A12" s="20" t="s">
        <v>448</v>
      </c>
      <c r="B12" s="31" t="s">
        <v>359</v>
      </c>
      <c r="C12" s="22">
        <v>7</v>
      </c>
      <c r="D12" s="22">
        <v>140</v>
      </c>
      <c r="E12" s="22">
        <v>140</v>
      </c>
      <c r="F12" s="23">
        <v>100</v>
      </c>
      <c r="G12" s="25">
        <v>7</v>
      </c>
      <c r="H12" s="25">
        <v>5</v>
      </c>
      <c r="I12" s="24">
        <v>2151940</v>
      </c>
      <c r="J12" s="24">
        <v>21897738</v>
      </c>
      <c r="K12" s="24">
        <v>90355300</v>
      </c>
      <c r="L12" s="24">
        <v>448173964</v>
      </c>
      <c r="M12" s="23">
        <v>8.6999999999999993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DEC2D-9F64-4FDF-BA12-D85301648FDD}">
  <dimension ref="A1:R50"/>
  <sheetViews>
    <sheetView topLeftCell="A4" workbookViewId="0">
      <selection activeCell="Q23" sqref="Q23"/>
    </sheetView>
  </sheetViews>
  <sheetFormatPr defaultRowHeight="14.4" x14ac:dyDescent="0.3"/>
  <cols>
    <col min="1" max="1" width="15" customWidth="1"/>
    <col min="2" max="2" width="38" customWidth="1"/>
    <col min="3" max="3" width="32" customWidth="1"/>
    <col min="4" max="4" width="18" customWidth="1"/>
    <col min="5" max="5" width="20" customWidth="1"/>
    <col min="6" max="9" width="22" customWidth="1"/>
    <col min="10" max="10" width="24" customWidth="1"/>
    <col min="11" max="12" width="20" customWidth="1"/>
    <col min="13" max="13" width="22" customWidth="1"/>
    <col min="14" max="14" width="24" customWidth="1"/>
    <col min="15" max="15" width="26" customWidth="1"/>
    <col min="16" max="16" width="30" customWidth="1"/>
    <col min="17" max="17" width="32" customWidth="1"/>
    <col min="18" max="18" width="34" customWidth="1"/>
  </cols>
  <sheetData>
    <row r="1" spans="1:18" ht="19.8" x14ac:dyDescent="0.4">
      <c r="A1" s="32" t="s">
        <v>451</v>
      </c>
    </row>
    <row r="2" spans="1:18" x14ac:dyDescent="0.3">
      <c r="A2" s="2" t="s">
        <v>452</v>
      </c>
    </row>
    <row r="4" spans="1:18" x14ac:dyDescent="0.3">
      <c r="A4" s="33" t="s">
        <v>453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</row>
    <row r="5" spans="1:18" ht="28.05" customHeight="1" thickBot="1" x14ac:dyDescent="0.35">
      <c r="A5" s="35" t="s">
        <v>454</v>
      </c>
      <c r="B5" s="35" t="s">
        <v>455</v>
      </c>
      <c r="C5" s="35" t="s">
        <v>456</v>
      </c>
      <c r="D5" s="35" t="s">
        <v>457</v>
      </c>
      <c r="E5" s="35" t="s">
        <v>458</v>
      </c>
      <c r="F5" s="35" t="s">
        <v>459</v>
      </c>
      <c r="G5" s="35" t="s">
        <v>460</v>
      </c>
      <c r="H5" s="35" t="s">
        <v>461</v>
      </c>
      <c r="I5" s="35" t="s">
        <v>462</v>
      </c>
      <c r="J5" s="35" t="s">
        <v>463</v>
      </c>
      <c r="K5" s="35" t="s">
        <v>464</v>
      </c>
      <c r="L5" s="35" t="s">
        <v>465</v>
      </c>
      <c r="M5" s="35" t="s">
        <v>466</v>
      </c>
      <c r="N5" s="35" t="s">
        <v>467</v>
      </c>
      <c r="O5" s="35" t="s">
        <v>468</v>
      </c>
      <c r="P5" s="35" t="s">
        <v>469</v>
      </c>
      <c r="Q5" s="35" t="s">
        <v>470</v>
      </c>
    </row>
    <row r="6" spans="1:18" ht="22.05" customHeight="1" x14ac:dyDescent="0.3">
      <c r="A6" s="36" t="s">
        <v>471</v>
      </c>
      <c r="B6" s="37" t="s">
        <v>472</v>
      </c>
      <c r="C6" s="37" t="s">
        <v>473</v>
      </c>
      <c r="D6" s="38">
        <v>4</v>
      </c>
      <c r="E6" s="39">
        <v>80</v>
      </c>
      <c r="F6" s="40">
        <f t="shared" ref="F6:F11" si="0">E6*25</f>
        <v>2000</v>
      </c>
      <c r="G6" s="41">
        <f t="shared" ref="G6:G11" si="1">E6/30</f>
        <v>2.6666666666666665</v>
      </c>
      <c r="H6" s="42">
        <v>3</v>
      </c>
      <c r="I6" s="40">
        <f t="shared" ref="I6:I11" si="2">E6*0.8</f>
        <v>64</v>
      </c>
      <c r="J6" s="41">
        <f t="shared" ref="J6:J11" si="3">I6/30</f>
        <v>2.1333333333333333</v>
      </c>
      <c r="K6" s="40">
        <f t="shared" ref="K6:K11" si="4">E6*0.15</f>
        <v>12</v>
      </c>
      <c r="L6" s="40">
        <f t="shared" ref="L6:L11" si="5">E6*0.05</f>
        <v>4</v>
      </c>
      <c r="M6" s="42">
        <v>3</v>
      </c>
      <c r="N6" s="42">
        <f t="shared" ref="N6:N11" si="6">H6+M6</f>
        <v>6</v>
      </c>
      <c r="O6" s="41">
        <f t="shared" ref="O6:O11" si="7">134.4/(I6/D6)</f>
        <v>8.4</v>
      </c>
      <c r="P6" s="41">
        <f t="shared" ref="P6:P11" si="8">86.4/(E6/D6)</f>
        <v>4.32</v>
      </c>
      <c r="Q6" s="37" t="s">
        <v>474</v>
      </c>
    </row>
    <row r="7" spans="1:18" ht="22.05" customHeight="1" x14ac:dyDescent="0.3">
      <c r="A7" s="43" t="s">
        <v>475</v>
      </c>
      <c r="B7" s="44" t="s">
        <v>476</v>
      </c>
      <c r="C7" s="44" t="s">
        <v>477</v>
      </c>
      <c r="D7" s="45">
        <v>7</v>
      </c>
      <c r="E7" s="46">
        <v>140</v>
      </c>
      <c r="F7" s="47">
        <f t="shared" si="0"/>
        <v>3500</v>
      </c>
      <c r="G7" s="48">
        <f t="shared" si="1"/>
        <v>4.666666666666667</v>
      </c>
      <c r="H7" s="49">
        <v>5</v>
      </c>
      <c r="I7" s="47">
        <f t="shared" si="2"/>
        <v>112</v>
      </c>
      <c r="J7" s="48">
        <f t="shared" si="3"/>
        <v>3.7333333333333334</v>
      </c>
      <c r="K7" s="47">
        <f t="shared" si="4"/>
        <v>21</v>
      </c>
      <c r="L7" s="47">
        <f t="shared" si="5"/>
        <v>7</v>
      </c>
      <c r="M7" s="49">
        <v>5</v>
      </c>
      <c r="N7" s="49">
        <f t="shared" si="6"/>
        <v>10</v>
      </c>
      <c r="O7" s="48">
        <f t="shared" si="7"/>
        <v>8.4</v>
      </c>
      <c r="P7" s="48">
        <f t="shared" si="8"/>
        <v>4.32</v>
      </c>
      <c r="Q7" s="44" t="s">
        <v>478</v>
      </c>
    </row>
    <row r="8" spans="1:18" ht="22.05" customHeight="1" x14ac:dyDescent="0.3">
      <c r="A8" s="36" t="s">
        <v>479</v>
      </c>
      <c r="B8" s="37" t="s">
        <v>480</v>
      </c>
      <c r="C8" s="37" t="s">
        <v>481</v>
      </c>
      <c r="D8" s="38">
        <v>10</v>
      </c>
      <c r="E8" s="39">
        <v>200</v>
      </c>
      <c r="F8" s="40">
        <f t="shared" si="0"/>
        <v>5000</v>
      </c>
      <c r="G8" s="41">
        <f t="shared" si="1"/>
        <v>6.666666666666667</v>
      </c>
      <c r="H8" s="42">
        <v>7</v>
      </c>
      <c r="I8" s="40">
        <f t="shared" si="2"/>
        <v>160</v>
      </c>
      <c r="J8" s="41">
        <f t="shared" si="3"/>
        <v>5.333333333333333</v>
      </c>
      <c r="K8" s="40">
        <f t="shared" si="4"/>
        <v>30</v>
      </c>
      <c r="L8" s="40">
        <f t="shared" si="5"/>
        <v>10</v>
      </c>
      <c r="M8" s="42">
        <v>7</v>
      </c>
      <c r="N8" s="42">
        <f t="shared" si="6"/>
        <v>14</v>
      </c>
      <c r="O8" s="41">
        <f t="shared" si="7"/>
        <v>8.4</v>
      </c>
      <c r="P8" s="41">
        <f t="shared" si="8"/>
        <v>4.32</v>
      </c>
      <c r="Q8" s="37" t="s">
        <v>482</v>
      </c>
    </row>
    <row r="9" spans="1:18" ht="22.05" customHeight="1" x14ac:dyDescent="0.3">
      <c r="A9" s="43" t="s">
        <v>483</v>
      </c>
      <c r="B9" s="44" t="s">
        <v>484</v>
      </c>
      <c r="C9" s="44" t="s">
        <v>485</v>
      </c>
      <c r="D9" s="45">
        <v>14</v>
      </c>
      <c r="E9" s="46">
        <v>280</v>
      </c>
      <c r="F9" s="47">
        <f t="shared" si="0"/>
        <v>7000</v>
      </c>
      <c r="G9" s="48">
        <f t="shared" si="1"/>
        <v>9.3333333333333339</v>
      </c>
      <c r="H9" s="49">
        <v>10</v>
      </c>
      <c r="I9" s="47">
        <f t="shared" si="2"/>
        <v>224</v>
      </c>
      <c r="J9" s="48">
        <f t="shared" si="3"/>
        <v>7.4666666666666668</v>
      </c>
      <c r="K9" s="47">
        <f t="shared" si="4"/>
        <v>42</v>
      </c>
      <c r="L9" s="47">
        <f t="shared" si="5"/>
        <v>14</v>
      </c>
      <c r="M9" s="49">
        <v>10</v>
      </c>
      <c r="N9" s="49">
        <f t="shared" si="6"/>
        <v>20</v>
      </c>
      <c r="O9" s="48">
        <f t="shared" si="7"/>
        <v>8.4</v>
      </c>
      <c r="P9" s="48">
        <f t="shared" si="8"/>
        <v>4.32</v>
      </c>
      <c r="Q9" s="44" t="s">
        <v>486</v>
      </c>
    </row>
    <row r="10" spans="1:18" ht="22.05" customHeight="1" x14ac:dyDescent="0.3">
      <c r="A10" s="36" t="s">
        <v>487</v>
      </c>
      <c r="B10" s="37" t="s">
        <v>488</v>
      </c>
      <c r="C10" s="37" t="s">
        <v>489</v>
      </c>
      <c r="D10" s="38">
        <v>18</v>
      </c>
      <c r="E10" s="39">
        <v>360</v>
      </c>
      <c r="F10" s="40">
        <f t="shared" si="0"/>
        <v>9000</v>
      </c>
      <c r="G10" s="41">
        <f t="shared" si="1"/>
        <v>12</v>
      </c>
      <c r="H10" s="42">
        <v>12</v>
      </c>
      <c r="I10" s="40">
        <f t="shared" si="2"/>
        <v>288</v>
      </c>
      <c r="J10" s="41">
        <f t="shared" si="3"/>
        <v>9.6</v>
      </c>
      <c r="K10" s="40">
        <f t="shared" si="4"/>
        <v>54</v>
      </c>
      <c r="L10" s="40">
        <f t="shared" si="5"/>
        <v>18</v>
      </c>
      <c r="M10" s="42">
        <v>13</v>
      </c>
      <c r="N10" s="42">
        <f t="shared" si="6"/>
        <v>25</v>
      </c>
      <c r="O10" s="41">
        <f t="shared" si="7"/>
        <v>8.4</v>
      </c>
      <c r="P10" s="41">
        <f t="shared" si="8"/>
        <v>4.32</v>
      </c>
      <c r="Q10" s="37" t="s">
        <v>490</v>
      </c>
    </row>
    <row r="11" spans="1:18" ht="25.2" x14ac:dyDescent="0.3">
      <c r="A11" s="50" t="s">
        <v>491</v>
      </c>
      <c r="B11" s="51" t="s">
        <v>492</v>
      </c>
      <c r="C11" s="51" t="s">
        <v>493</v>
      </c>
      <c r="D11" s="52">
        <v>21</v>
      </c>
      <c r="E11" s="53">
        <v>420</v>
      </c>
      <c r="F11" s="54">
        <f t="shared" si="0"/>
        <v>10500</v>
      </c>
      <c r="G11" s="55">
        <f t="shared" si="1"/>
        <v>14</v>
      </c>
      <c r="H11" s="56">
        <v>14</v>
      </c>
      <c r="I11" s="54">
        <f t="shared" si="2"/>
        <v>336</v>
      </c>
      <c r="J11" s="55">
        <f t="shared" si="3"/>
        <v>11.2</v>
      </c>
      <c r="K11" s="54">
        <f t="shared" si="4"/>
        <v>63</v>
      </c>
      <c r="L11" s="54">
        <f t="shared" si="5"/>
        <v>21</v>
      </c>
      <c r="M11" s="56">
        <v>15</v>
      </c>
      <c r="N11" s="56">
        <f t="shared" si="6"/>
        <v>29</v>
      </c>
      <c r="O11" s="55">
        <f t="shared" si="7"/>
        <v>8.4</v>
      </c>
      <c r="P11" s="55">
        <f t="shared" si="8"/>
        <v>4.32</v>
      </c>
      <c r="Q11" s="51" t="s">
        <v>494</v>
      </c>
    </row>
    <row r="12" spans="1:18" x14ac:dyDescent="0.3">
      <c r="A12" s="57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</row>
    <row r="13" spans="1:18" ht="28.05" customHeight="1" thickBot="1" x14ac:dyDescent="0.35">
      <c r="A13" s="59" t="s">
        <v>495</v>
      </c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89"/>
      <c r="Q13" s="90"/>
      <c r="R13" s="90"/>
    </row>
    <row r="14" spans="1:18" ht="22.05" customHeight="1" thickBot="1" x14ac:dyDescent="0.35">
      <c r="A14" s="35" t="s">
        <v>454</v>
      </c>
      <c r="B14" s="61" t="s">
        <v>496</v>
      </c>
      <c r="C14" s="62" t="s">
        <v>497</v>
      </c>
      <c r="D14" s="62" t="s">
        <v>498</v>
      </c>
      <c r="E14" s="62" t="s">
        <v>499</v>
      </c>
      <c r="F14" s="62" t="s">
        <v>500</v>
      </c>
      <c r="G14" s="62" t="s">
        <v>501</v>
      </c>
      <c r="H14" s="62" t="s">
        <v>502</v>
      </c>
      <c r="I14" s="62" t="s">
        <v>503</v>
      </c>
      <c r="J14" s="62" t="s">
        <v>504</v>
      </c>
      <c r="K14" s="62" t="s">
        <v>505</v>
      </c>
      <c r="L14" s="62" t="s">
        <v>506</v>
      </c>
      <c r="M14" s="62" t="s">
        <v>507</v>
      </c>
      <c r="N14" s="63" t="s">
        <v>508</v>
      </c>
      <c r="O14" s="62" t="s">
        <v>509</v>
      </c>
      <c r="P14" s="97" t="s">
        <v>510</v>
      </c>
      <c r="Q14" s="98" t="s">
        <v>511</v>
      </c>
      <c r="R14" s="98" t="s">
        <v>512</v>
      </c>
    </row>
    <row r="15" spans="1:18" ht="22.05" customHeight="1" x14ac:dyDescent="0.3">
      <c r="A15" s="43" t="s">
        <v>471</v>
      </c>
      <c r="B15" s="47">
        <f t="shared" ref="B15:B20" si="9">E6</f>
        <v>80</v>
      </c>
      <c r="C15" s="64">
        <f t="shared" ref="C15:C20" si="10">B15*3582500</f>
        <v>286600000</v>
      </c>
      <c r="D15" s="64">
        <f t="shared" ref="D15:D20" si="11">B15*79930</f>
        <v>6394400</v>
      </c>
      <c r="E15" s="64">
        <f t="shared" ref="E15:E20" si="12">B15*7223</f>
        <v>577840</v>
      </c>
      <c r="F15" s="64">
        <f t="shared" ref="F15:F20" si="13">B15*4738</f>
        <v>379040</v>
      </c>
      <c r="G15" s="64">
        <v>2675000</v>
      </c>
      <c r="H15" s="64">
        <f t="shared" ref="H15:H20" si="14">B15*139006</f>
        <v>11120480</v>
      </c>
      <c r="I15" s="65">
        <f t="shared" ref="I15:I20" si="15">SUM(C15:H15)</f>
        <v>307746760</v>
      </c>
      <c r="J15" s="64">
        <f t="shared" ref="J15:J20" si="16">I15/B15</f>
        <v>3846834.5</v>
      </c>
      <c r="K15" s="64">
        <v>4350000</v>
      </c>
      <c r="L15" s="65">
        <f t="shared" ref="L15:L20" si="17">B15*K15</f>
        <v>348000000</v>
      </c>
      <c r="M15" s="65">
        <f t="shared" ref="M15:M20" si="18">L15-I15</f>
        <v>40253240</v>
      </c>
      <c r="N15" s="66">
        <f t="shared" ref="N15:N20" si="19">M15/L15</f>
        <v>0.11567022988505747</v>
      </c>
      <c r="O15" s="64">
        <f t="shared" ref="O15:O20" si="20">M15*25</f>
        <v>1006331000</v>
      </c>
      <c r="P15" s="91">
        <f t="shared" ref="P15:P20" si="21">I15*30</f>
        <v>9232402800</v>
      </c>
      <c r="Q15" s="91">
        <f t="shared" ref="Q15:Q20" si="22">I15*60</f>
        <v>18464805600</v>
      </c>
      <c r="R15" s="92">
        <f t="shared" ref="R15:R20" si="23">I15*90</f>
        <v>27697208400</v>
      </c>
    </row>
    <row r="16" spans="1:18" ht="22.05" customHeight="1" x14ac:dyDescent="0.3">
      <c r="A16" s="36" t="s">
        <v>475</v>
      </c>
      <c r="B16" s="40">
        <f t="shared" si="9"/>
        <v>140</v>
      </c>
      <c r="C16" s="67">
        <f t="shared" si="10"/>
        <v>501550000</v>
      </c>
      <c r="D16" s="67">
        <f t="shared" si="11"/>
        <v>11190200</v>
      </c>
      <c r="E16" s="67">
        <f t="shared" si="12"/>
        <v>1011220</v>
      </c>
      <c r="F16" s="67">
        <f t="shared" si="13"/>
        <v>663320</v>
      </c>
      <c r="G16" s="67">
        <v>2675000</v>
      </c>
      <c r="H16" s="67">
        <f t="shared" si="14"/>
        <v>19460840</v>
      </c>
      <c r="I16" s="68">
        <f t="shared" si="15"/>
        <v>536550580</v>
      </c>
      <c r="J16" s="67">
        <f t="shared" si="16"/>
        <v>3832504.1428571427</v>
      </c>
      <c r="K16" s="67">
        <v>4350000</v>
      </c>
      <c r="L16" s="68">
        <f t="shared" si="17"/>
        <v>609000000</v>
      </c>
      <c r="M16" s="68">
        <f t="shared" si="18"/>
        <v>72449420</v>
      </c>
      <c r="N16" s="69">
        <f t="shared" si="19"/>
        <v>0.11896456486042693</v>
      </c>
      <c r="O16" s="67">
        <f t="shared" si="20"/>
        <v>1811235500</v>
      </c>
      <c r="P16" s="93">
        <f t="shared" si="21"/>
        <v>16096517400</v>
      </c>
      <c r="Q16" s="93">
        <f t="shared" si="22"/>
        <v>32193034800</v>
      </c>
      <c r="R16" s="94">
        <f t="shared" si="23"/>
        <v>48289552200</v>
      </c>
    </row>
    <row r="17" spans="1:18" ht="22.05" customHeight="1" x14ac:dyDescent="0.3">
      <c r="A17" s="43" t="s">
        <v>479</v>
      </c>
      <c r="B17" s="47">
        <f t="shared" si="9"/>
        <v>200</v>
      </c>
      <c r="C17" s="64">
        <f t="shared" si="10"/>
        <v>716500000</v>
      </c>
      <c r="D17" s="64">
        <f t="shared" si="11"/>
        <v>15986000</v>
      </c>
      <c r="E17" s="64">
        <f t="shared" si="12"/>
        <v>1444600</v>
      </c>
      <c r="F17" s="64">
        <f t="shared" si="13"/>
        <v>947600</v>
      </c>
      <c r="G17" s="64">
        <v>4776785</v>
      </c>
      <c r="H17" s="64">
        <f t="shared" si="14"/>
        <v>27801200</v>
      </c>
      <c r="I17" s="65">
        <f t="shared" si="15"/>
        <v>767456185</v>
      </c>
      <c r="J17" s="64">
        <f t="shared" si="16"/>
        <v>3837280.9249999998</v>
      </c>
      <c r="K17" s="64">
        <v>4350000</v>
      </c>
      <c r="L17" s="65">
        <f t="shared" si="17"/>
        <v>870000000</v>
      </c>
      <c r="M17" s="65">
        <f t="shared" si="18"/>
        <v>102543815</v>
      </c>
      <c r="N17" s="66">
        <f t="shared" si="19"/>
        <v>0.11786645402298851</v>
      </c>
      <c r="O17" s="64">
        <f t="shared" si="20"/>
        <v>2563595375</v>
      </c>
      <c r="P17" s="91">
        <f t="shared" si="21"/>
        <v>23023685550</v>
      </c>
      <c r="Q17" s="91">
        <f t="shared" si="22"/>
        <v>46047371100</v>
      </c>
      <c r="R17" s="92">
        <f t="shared" si="23"/>
        <v>69071056650</v>
      </c>
    </row>
    <row r="18" spans="1:18" ht="22.05" customHeight="1" x14ac:dyDescent="0.3">
      <c r="A18" s="84" t="s">
        <v>483</v>
      </c>
      <c r="B18" s="85">
        <f t="shared" si="9"/>
        <v>280</v>
      </c>
      <c r="C18" s="86">
        <f t="shared" si="10"/>
        <v>1003100000</v>
      </c>
      <c r="D18" s="86">
        <f t="shared" si="11"/>
        <v>22380400</v>
      </c>
      <c r="E18" s="86">
        <f t="shared" si="12"/>
        <v>2022440</v>
      </c>
      <c r="F18" s="86">
        <f t="shared" si="13"/>
        <v>1326640</v>
      </c>
      <c r="G18" s="86">
        <v>5617500</v>
      </c>
      <c r="H18" s="86">
        <f t="shared" si="14"/>
        <v>38921680</v>
      </c>
      <c r="I18" s="87">
        <f t="shared" si="15"/>
        <v>1073368660</v>
      </c>
      <c r="J18" s="86">
        <f t="shared" si="16"/>
        <v>3833459.5</v>
      </c>
      <c r="K18" s="86">
        <v>4350000</v>
      </c>
      <c r="L18" s="87">
        <f t="shared" si="17"/>
        <v>1218000000</v>
      </c>
      <c r="M18" s="87">
        <f t="shared" si="18"/>
        <v>144631340</v>
      </c>
      <c r="N18" s="88">
        <f t="shared" si="19"/>
        <v>0.11874494252873563</v>
      </c>
      <c r="O18" s="86">
        <f t="shared" si="20"/>
        <v>3615783500</v>
      </c>
      <c r="P18" s="93">
        <f t="shared" si="21"/>
        <v>32201059800</v>
      </c>
      <c r="Q18" s="93">
        <f t="shared" si="22"/>
        <v>64402119600</v>
      </c>
      <c r="R18" s="94">
        <f t="shared" si="23"/>
        <v>96603179400</v>
      </c>
    </row>
    <row r="19" spans="1:18" x14ac:dyDescent="0.3">
      <c r="A19" s="43" t="s">
        <v>487</v>
      </c>
      <c r="B19" s="47">
        <f t="shared" si="9"/>
        <v>360</v>
      </c>
      <c r="C19" s="64">
        <f t="shared" si="10"/>
        <v>1289700000</v>
      </c>
      <c r="D19" s="64">
        <f t="shared" si="11"/>
        <v>28774800</v>
      </c>
      <c r="E19" s="64">
        <f t="shared" si="12"/>
        <v>2600280</v>
      </c>
      <c r="F19" s="64">
        <f t="shared" si="13"/>
        <v>1705680</v>
      </c>
      <c r="G19" s="64">
        <v>7720000</v>
      </c>
      <c r="H19" s="64">
        <f t="shared" si="14"/>
        <v>50042160</v>
      </c>
      <c r="I19" s="65">
        <f t="shared" si="15"/>
        <v>1380542920</v>
      </c>
      <c r="J19" s="64">
        <f t="shared" si="16"/>
        <v>3834841.4444444445</v>
      </c>
      <c r="K19" s="64">
        <v>4350000</v>
      </c>
      <c r="L19" s="65">
        <f t="shared" si="17"/>
        <v>1566000000</v>
      </c>
      <c r="M19" s="65">
        <f t="shared" si="18"/>
        <v>185457080</v>
      </c>
      <c r="N19" s="66">
        <f t="shared" si="19"/>
        <v>0.11842725415070243</v>
      </c>
      <c r="O19" s="64">
        <f t="shared" si="20"/>
        <v>4636427000</v>
      </c>
      <c r="P19" s="91">
        <f t="shared" si="21"/>
        <v>41416287600</v>
      </c>
      <c r="Q19" s="91">
        <f t="shared" si="22"/>
        <v>82832575200</v>
      </c>
      <c r="R19" s="92">
        <f t="shared" si="23"/>
        <v>124248862800</v>
      </c>
    </row>
    <row r="20" spans="1:18" x14ac:dyDescent="0.3">
      <c r="A20" s="70" t="s">
        <v>491</v>
      </c>
      <c r="B20" s="71">
        <f t="shared" si="9"/>
        <v>420</v>
      </c>
      <c r="C20" s="72">
        <f t="shared" si="10"/>
        <v>1504650000</v>
      </c>
      <c r="D20" s="72">
        <f t="shared" si="11"/>
        <v>33570600</v>
      </c>
      <c r="E20" s="72">
        <f t="shared" si="12"/>
        <v>3033660</v>
      </c>
      <c r="F20" s="72">
        <f t="shared" si="13"/>
        <v>1989960</v>
      </c>
      <c r="G20" s="72">
        <v>9844000</v>
      </c>
      <c r="H20" s="72">
        <f t="shared" si="14"/>
        <v>58382520</v>
      </c>
      <c r="I20" s="73">
        <f t="shared" si="15"/>
        <v>1611470740</v>
      </c>
      <c r="J20" s="72">
        <f t="shared" si="16"/>
        <v>3836835.0952380951</v>
      </c>
      <c r="K20" s="72">
        <v>4350000</v>
      </c>
      <c r="L20" s="73">
        <f t="shared" si="17"/>
        <v>1827000000</v>
      </c>
      <c r="M20" s="73">
        <f t="shared" si="18"/>
        <v>215529260</v>
      </c>
      <c r="N20" s="74">
        <f t="shared" si="19"/>
        <v>0.11796894362342639</v>
      </c>
      <c r="O20" s="72">
        <f t="shared" si="20"/>
        <v>5388231500</v>
      </c>
      <c r="P20" s="95">
        <f t="shared" si="21"/>
        <v>48344122200</v>
      </c>
      <c r="Q20" s="95">
        <f t="shared" si="22"/>
        <v>96688244400</v>
      </c>
      <c r="R20" s="96">
        <f t="shared" si="23"/>
        <v>145032366600</v>
      </c>
    </row>
    <row r="21" spans="1:18" ht="25.95" customHeight="1" thickBot="1" x14ac:dyDescent="0.35">
      <c r="A21" s="60"/>
      <c r="B21" s="60"/>
      <c r="C21" s="60"/>
      <c r="D21" s="60"/>
      <c r="E21" s="60"/>
      <c r="F21" s="60"/>
      <c r="G21" s="60"/>
    </row>
    <row r="22" spans="1:18" ht="45" customHeight="1" x14ac:dyDescent="0.3">
      <c r="A22" s="75" t="s">
        <v>513</v>
      </c>
      <c r="B22" s="76"/>
      <c r="C22" s="77"/>
      <c r="D22" s="77"/>
      <c r="E22" s="76"/>
      <c r="F22" s="78"/>
      <c r="G22" s="77"/>
    </row>
    <row r="23" spans="1:18" ht="45" customHeight="1" thickBot="1" x14ac:dyDescent="0.35">
      <c r="A23" s="35" t="s">
        <v>2</v>
      </c>
      <c r="B23" s="35" t="s">
        <v>514</v>
      </c>
      <c r="C23" s="35" t="s">
        <v>515</v>
      </c>
      <c r="D23" s="35" t="s">
        <v>516</v>
      </c>
      <c r="E23" s="35" t="s">
        <v>517</v>
      </c>
      <c r="F23" s="35" t="s">
        <v>518</v>
      </c>
      <c r="G23" s="35" t="s">
        <v>519</v>
      </c>
    </row>
    <row r="24" spans="1:18" ht="45" customHeight="1" x14ac:dyDescent="0.3">
      <c r="A24" s="36">
        <v>1</v>
      </c>
      <c r="B24" s="79" t="s">
        <v>520</v>
      </c>
      <c r="C24" s="37" t="s">
        <v>521</v>
      </c>
      <c r="D24" s="37" t="s">
        <v>522</v>
      </c>
      <c r="E24" s="37" t="s">
        <v>523</v>
      </c>
      <c r="F24" s="80" t="s">
        <v>524</v>
      </c>
      <c r="G24" s="37" t="s">
        <v>525</v>
      </c>
    </row>
    <row r="25" spans="1:18" ht="45" customHeight="1" x14ac:dyDescent="0.3">
      <c r="A25" s="43">
        <v>2</v>
      </c>
      <c r="B25" s="81" t="s">
        <v>526</v>
      </c>
      <c r="C25" s="44" t="s">
        <v>527</v>
      </c>
      <c r="D25" s="44" t="s">
        <v>528</v>
      </c>
      <c r="E25" s="44" t="s">
        <v>529</v>
      </c>
      <c r="F25" s="82" t="s">
        <v>530</v>
      </c>
      <c r="G25" s="44" t="s">
        <v>531</v>
      </c>
    </row>
    <row r="26" spans="1:18" ht="45" customHeight="1" x14ac:dyDescent="0.3">
      <c r="A26" s="36">
        <v>3</v>
      </c>
      <c r="B26" s="79" t="s">
        <v>532</v>
      </c>
      <c r="C26" s="37" t="s">
        <v>533</v>
      </c>
      <c r="D26" s="37" t="s">
        <v>534</v>
      </c>
      <c r="E26" s="37" t="s">
        <v>535</v>
      </c>
      <c r="F26" s="80" t="s">
        <v>536</v>
      </c>
      <c r="G26" s="37" t="s">
        <v>537</v>
      </c>
    </row>
    <row r="27" spans="1:18" ht="100.8" x14ac:dyDescent="0.3">
      <c r="A27" s="43">
        <v>4</v>
      </c>
      <c r="B27" s="81" t="s">
        <v>538</v>
      </c>
      <c r="C27" s="44" t="s">
        <v>539</v>
      </c>
      <c r="D27" s="44" t="s">
        <v>540</v>
      </c>
      <c r="E27" s="44" t="s">
        <v>541</v>
      </c>
      <c r="F27" s="82" t="s">
        <v>530</v>
      </c>
      <c r="G27" s="44" t="s">
        <v>542</v>
      </c>
    </row>
    <row r="28" spans="1:18" ht="100.8" x14ac:dyDescent="0.3">
      <c r="A28" s="36">
        <v>5</v>
      </c>
      <c r="B28" s="79" t="s">
        <v>543</v>
      </c>
      <c r="C28" s="37" t="s">
        <v>544</v>
      </c>
      <c r="D28" s="37" t="s">
        <v>545</v>
      </c>
      <c r="E28" s="37" t="s">
        <v>546</v>
      </c>
      <c r="F28" s="80" t="s">
        <v>530</v>
      </c>
      <c r="G28" s="37" t="s">
        <v>547</v>
      </c>
    </row>
    <row r="29" spans="1:18" ht="88.2" x14ac:dyDescent="0.3">
      <c r="A29" s="43">
        <v>6</v>
      </c>
      <c r="B29" s="81" t="s">
        <v>548</v>
      </c>
      <c r="C29" s="44" t="s">
        <v>549</v>
      </c>
      <c r="D29" s="44" t="s">
        <v>550</v>
      </c>
      <c r="E29" s="44" t="s">
        <v>551</v>
      </c>
      <c r="F29" s="82" t="s">
        <v>524</v>
      </c>
      <c r="G29" s="44" t="s">
        <v>552</v>
      </c>
    </row>
    <row r="30" spans="1:18" ht="75.599999999999994" x14ac:dyDescent="0.3">
      <c r="A30" s="36">
        <v>7</v>
      </c>
      <c r="B30" s="79" t="s">
        <v>553</v>
      </c>
      <c r="C30" s="37" t="s">
        <v>554</v>
      </c>
      <c r="D30" s="37" t="s">
        <v>555</v>
      </c>
      <c r="E30" s="37" t="s">
        <v>556</v>
      </c>
      <c r="F30" s="80" t="s">
        <v>557</v>
      </c>
      <c r="G30" s="37" t="s">
        <v>558</v>
      </c>
    </row>
    <row r="31" spans="1:18" ht="75.599999999999994" x14ac:dyDescent="0.3">
      <c r="A31" s="43">
        <v>8</v>
      </c>
      <c r="B31" s="81" t="s">
        <v>559</v>
      </c>
      <c r="C31" s="44" t="s">
        <v>560</v>
      </c>
      <c r="D31" s="44" t="s">
        <v>561</v>
      </c>
      <c r="E31" s="44" t="s">
        <v>562</v>
      </c>
      <c r="F31" s="82" t="s">
        <v>530</v>
      </c>
      <c r="G31" s="44" t="s">
        <v>563</v>
      </c>
    </row>
    <row r="33" spans="1:10" x14ac:dyDescent="0.3">
      <c r="A33" s="83" t="s">
        <v>564</v>
      </c>
    </row>
    <row r="34" spans="1:10" ht="25.8" thickBot="1" x14ac:dyDescent="0.35">
      <c r="A34" s="35" t="s">
        <v>565</v>
      </c>
      <c r="B34" s="35" t="s">
        <v>566</v>
      </c>
      <c r="C34" s="35" t="s">
        <v>567</v>
      </c>
      <c r="D34" s="35" t="s">
        <v>568</v>
      </c>
      <c r="E34" s="35" t="s">
        <v>569</v>
      </c>
      <c r="F34" s="35" t="s">
        <v>570</v>
      </c>
      <c r="G34" s="35" t="s">
        <v>571</v>
      </c>
      <c r="H34" s="35" t="s">
        <v>572</v>
      </c>
      <c r="I34" s="35" t="s">
        <v>573</v>
      </c>
      <c r="J34" s="35" t="s">
        <v>574</v>
      </c>
    </row>
    <row r="35" spans="1:10" ht="25.2" x14ac:dyDescent="0.3">
      <c r="A35" s="43" t="s">
        <v>575</v>
      </c>
      <c r="B35" s="44" t="s">
        <v>576</v>
      </c>
      <c r="C35" s="44" t="s">
        <v>577</v>
      </c>
      <c r="D35" s="44" t="s">
        <v>578</v>
      </c>
      <c r="E35" s="46">
        <v>30</v>
      </c>
      <c r="F35" s="46">
        <v>0</v>
      </c>
      <c r="G35" s="47">
        <v>114.4</v>
      </c>
      <c r="H35" s="46">
        <v>30</v>
      </c>
      <c r="I35" s="44" t="s">
        <v>579</v>
      </c>
      <c r="J35" s="44" t="s">
        <v>580</v>
      </c>
    </row>
    <row r="36" spans="1:10" ht="25.2" x14ac:dyDescent="0.3">
      <c r="A36" s="36" t="s">
        <v>581</v>
      </c>
      <c r="B36" s="37" t="s">
        <v>582</v>
      </c>
      <c r="C36" s="37" t="s">
        <v>583</v>
      </c>
      <c r="D36" s="37" t="s">
        <v>584</v>
      </c>
      <c r="E36" s="39">
        <v>30</v>
      </c>
      <c r="F36" s="39">
        <v>30</v>
      </c>
      <c r="G36" s="40">
        <v>128.4</v>
      </c>
      <c r="H36" s="39">
        <v>20</v>
      </c>
      <c r="I36" s="37" t="s">
        <v>585</v>
      </c>
      <c r="J36" s="37" t="s">
        <v>586</v>
      </c>
    </row>
    <row r="37" spans="1:10" ht="25.2" x14ac:dyDescent="0.3">
      <c r="A37" s="43" t="s">
        <v>587</v>
      </c>
      <c r="B37" s="44" t="s">
        <v>582</v>
      </c>
      <c r="C37" s="44" t="s">
        <v>588</v>
      </c>
      <c r="D37" s="44" t="s">
        <v>578</v>
      </c>
      <c r="E37" s="46">
        <v>30</v>
      </c>
      <c r="F37" s="46">
        <v>0</v>
      </c>
      <c r="G37" s="47">
        <v>112.4</v>
      </c>
      <c r="H37" s="46">
        <v>40</v>
      </c>
      <c r="I37" s="44" t="s">
        <v>589</v>
      </c>
      <c r="J37" s="44" t="s">
        <v>590</v>
      </c>
    </row>
    <row r="38" spans="1:10" ht="25.2" x14ac:dyDescent="0.3">
      <c r="A38" s="36" t="s">
        <v>591</v>
      </c>
      <c r="B38" s="37" t="s">
        <v>582</v>
      </c>
      <c r="C38" s="37" t="s">
        <v>592</v>
      </c>
      <c r="D38" s="37" t="s">
        <v>593</v>
      </c>
      <c r="E38" s="39">
        <v>30</v>
      </c>
      <c r="F38" s="39">
        <v>30</v>
      </c>
      <c r="G38" s="40">
        <v>126.4</v>
      </c>
      <c r="H38" s="39">
        <v>30</v>
      </c>
      <c r="I38" s="37" t="s">
        <v>594</v>
      </c>
      <c r="J38" s="37" t="s">
        <v>595</v>
      </c>
    </row>
    <row r="39" spans="1:10" ht="25.2" x14ac:dyDescent="0.3">
      <c r="A39" s="43" t="s">
        <v>596</v>
      </c>
      <c r="B39" s="44" t="s">
        <v>582</v>
      </c>
      <c r="C39" s="44" t="s">
        <v>597</v>
      </c>
      <c r="D39" s="44" t="s">
        <v>578</v>
      </c>
      <c r="E39" s="46">
        <v>20</v>
      </c>
      <c r="F39" s="46">
        <v>0</v>
      </c>
      <c r="G39" s="47">
        <v>110.4</v>
      </c>
      <c r="H39" s="46">
        <v>50</v>
      </c>
      <c r="I39" s="44" t="s">
        <v>598</v>
      </c>
      <c r="J39" s="44" t="s">
        <v>599</v>
      </c>
    </row>
    <row r="40" spans="1:10" ht="25.2" x14ac:dyDescent="0.3">
      <c r="A40" s="36" t="s">
        <v>600</v>
      </c>
      <c r="B40" s="37" t="s">
        <v>601</v>
      </c>
      <c r="C40" s="37" t="s">
        <v>578</v>
      </c>
      <c r="D40" s="37" t="s">
        <v>602</v>
      </c>
      <c r="E40" s="39">
        <v>0</v>
      </c>
      <c r="F40" s="39">
        <v>30</v>
      </c>
      <c r="G40" s="40">
        <v>110.4</v>
      </c>
      <c r="H40" s="39">
        <v>20</v>
      </c>
      <c r="I40" s="37" t="s">
        <v>603</v>
      </c>
      <c r="J40" s="37" t="s">
        <v>604</v>
      </c>
    </row>
    <row r="41" spans="1:10" ht="25.2" x14ac:dyDescent="0.3">
      <c r="A41" s="43" t="s">
        <v>605</v>
      </c>
      <c r="B41" s="44" t="s">
        <v>582</v>
      </c>
      <c r="C41" s="44" t="s">
        <v>606</v>
      </c>
      <c r="D41" s="44" t="s">
        <v>578</v>
      </c>
      <c r="E41" s="46">
        <v>30</v>
      </c>
      <c r="F41" s="46">
        <v>0</v>
      </c>
      <c r="G41" s="47">
        <v>124.4</v>
      </c>
      <c r="H41" s="46">
        <v>40</v>
      </c>
      <c r="I41" s="44" t="s">
        <v>607</v>
      </c>
      <c r="J41" s="44" t="s">
        <v>608</v>
      </c>
    </row>
    <row r="42" spans="1:10" ht="25.2" x14ac:dyDescent="0.3">
      <c r="A42" s="36" t="s">
        <v>609</v>
      </c>
      <c r="B42" s="37" t="s">
        <v>582</v>
      </c>
      <c r="C42" s="37" t="s">
        <v>578</v>
      </c>
      <c r="D42" s="37" t="s">
        <v>610</v>
      </c>
      <c r="E42" s="39">
        <v>0</v>
      </c>
      <c r="F42" s="39">
        <v>30</v>
      </c>
      <c r="G42" s="40">
        <v>108.4</v>
      </c>
      <c r="H42" s="39">
        <v>30</v>
      </c>
      <c r="I42" s="37" t="s">
        <v>611</v>
      </c>
      <c r="J42" s="37" t="s">
        <v>612</v>
      </c>
    </row>
    <row r="43" spans="1:10" ht="25.2" x14ac:dyDescent="0.3">
      <c r="A43" s="43" t="s">
        <v>613</v>
      </c>
      <c r="B43" s="44" t="s">
        <v>614</v>
      </c>
      <c r="C43" s="44" t="s">
        <v>615</v>
      </c>
      <c r="D43" s="44" t="s">
        <v>578</v>
      </c>
      <c r="E43" s="46">
        <v>30</v>
      </c>
      <c r="F43" s="46">
        <v>0</v>
      </c>
      <c r="G43" s="47">
        <v>122.4</v>
      </c>
      <c r="H43" s="46">
        <v>50</v>
      </c>
      <c r="I43" s="44" t="s">
        <v>616</v>
      </c>
      <c r="J43" s="44" t="s">
        <v>617</v>
      </c>
    </row>
    <row r="44" spans="1:10" ht="25.2" x14ac:dyDescent="0.3">
      <c r="A44" s="36" t="s">
        <v>618</v>
      </c>
      <c r="B44" s="37" t="s">
        <v>582</v>
      </c>
      <c r="C44" s="37" t="s">
        <v>578</v>
      </c>
      <c r="D44" s="37" t="s">
        <v>619</v>
      </c>
      <c r="E44" s="39">
        <v>0</v>
      </c>
      <c r="F44" s="39">
        <v>30</v>
      </c>
      <c r="G44" s="40">
        <v>106.4</v>
      </c>
      <c r="H44" s="39">
        <v>40</v>
      </c>
      <c r="I44" s="37" t="s">
        <v>620</v>
      </c>
      <c r="J44" s="37" t="s">
        <v>621</v>
      </c>
    </row>
    <row r="45" spans="1:10" ht="25.2" x14ac:dyDescent="0.3">
      <c r="A45" s="43" t="s">
        <v>622</v>
      </c>
      <c r="B45" s="44" t="s">
        <v>582</v>
      </c>
      <c r="C45" s="44" t="s">
        <v>623</v>
      </c>
      <c r="D45" s="44" t="s">
        <v>578</v>
      </c>
      <c r="E45" s="46">
        <v>30</v>
      </c>
      <c r="F45" s="46">
        <v>0</v>
      </c>
      <c r="G45" s="47">
        <v>120.4</v>
      </c>
      <c r="H45" s="46">
        <v>60</v>
      </c>
      <c r="I45" s="44" t="s">
        <v>624</v>
      </c>
      <c r="J45" s="44" t="s">
        <v>625</v>
      </c>
    </row>
    <row r="46" spans="1:10" ht="25.2" x14ac:dyDescent="0.3">
      <c r="A46" s="36" t="s">
        <v>626</v>
      </c>
      <c r="B46" s="37" t="s">
        <v>582</v>
      </c>
      <c r="C46" s="37" t="s">
        <v>578</v>
      </c>
      <c r="D46" s="37" t="s">
        <v>627</v>
      </c>
      <c r="E46" s="39">
        <v>0</v>
      </c>
      <c r="F46" s="39">
        <v>30</v>
      </c>
      <c r="G46" s="40">
        <v>104.4</v>
      </c>
      <c r="H46" s="39">
        <v>50</v>
      </c>
      <c r="I46" s="37" t="s">
        <v>628</v>
      </c>
      <c r="J46" s="37" t="s">
        <v>629</v>
      </c>
    </row>
    <row r="47" spans="1:10" ht="25.2" x14ac:dyDescent="0.3">
      <c r="A47" s="43" t="s">
        <v>630</v>
      </c>
      <c r="B47" s="44" t="s">
        <v>582</v>
      </c>
      <c r="C47" s="44" t="s">
        <v>631</v>
      </c>
      <c r="D47" s="44" t="s">
        <v>578</v>
      </c>
      <c r="E47" s="46">
        <v>30</v>
      </c>
      <c r="F47" s="46">
        <v>0</v>
      </c>
      <c r="G47" s="47">
        <v>118.4</v>
      </c>
      <c r="H47" s="46">
        <v>70</v>
      </c>
      <c r="I47" s="44" t="s">
        <v>632</v>
      </c>
      <c r="J47" s="44" t="s">
        <v>633</v>
      </c>
    </row>
    <row r="48" spans="1:10" ht="25.2" x14ac:dyDescent="0.3">
      <c r="A48" s="36" t="s">
        <v>634</v>
      </c>
      <c r="B48" s="37" t="s">
        <v>582</v>
      </c>
      <c r="C48" s="37" t="s">
        <v>578</v>
      </c>
      <c r="D48" s="37" t="s">
        <v>635</v>
      </c>
      <c r="E48" s="39">
        <v>0</v>
      </c>
      <c r="F48" s="39">
        <v>30</v>
      </c>
      <c r="G48" s="40">
        <v>102.4</v>
      </c>
      <c r="H48" s="39">
        <v>60</v>
      </c>
      <c r="I48" s="37" t="s">
        <v>636</v>
      </c>
      <c r="J48" s="37" t="s">
        <v>637</v>
      </c>
    </row>
    <row r="49" spans="1:10" ht="25.2" x14ac:dyDescent="0.3">
      <c r="A49" s="43" t="s">
        <v>638</v>
      </c>
      <c r="B49" s="44" t="s">
        <v>582</v>
      </c>
      <c r="C49" s="44" t="s">
        <v>639</v>
      </c>
      <c r="D49" s="44" t="s">
        <v>578</v>
      </c>
      <c r="E49" s="46">
        <v>30</v>
      </c>
      <c r="F49" s="46">
        <v>0</v>
      </c>
      <c r="G49" s="47">
        <v>102.4</v>
      </c>
      <c r="H49" s="46">
        <v>80</v>
      </c>
      <c r="I49" s="44" t="s">
        <v>640</v>
      </c>
      <c r="J49" s="44" t="s">
        <v>641</v>
      </c>
    </row>
    <row r="50" spans="1:10" ht="25.2" x14ac:dyDescent="0.3">
      <c r="A50" s="36" t="s">
        <v>642</v>
      </c>
      <c r="B50" s="37" t="s">
        <v>643</v>
      </c>
      <c r="C50" s="37" t="s">
        <v>644</v>
      </c>
      <c r="D50" s="37" t="s">
        <v>645</v>
      </c>
      <c r="E50" s="39">
        <v>30</v>
      </c>
      <c r="F50" s="39">
        <v>30</v>
      </c>
      <c r="G50" s="40">
        <v>116.4</v>
      </c>
      <c r="H50" s="39">
        <v>70</v>
      </c>
      <c r="I50" s="37" t="s">
        <v>646</v>
      </c>
      <c r="J50" s="37" t="s">
        <v>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Daftar &amp; Kamus Data</vt:lpstr>
      <vt:lpstr>master_bahan_baku</vt:lpstr>
      <vt:lpstr>master_fasilitas_storage</vt:lpstr>
      <vt:lpstr>log_logistik_inbound</vt:lpstr>
      <vt:lpstr>log_logistik_outbound</vt:lpstr>
      <vt:lpstr>telemetri_produksi_scada</vt:lpstr>
      <vt:lpstr>biaya_siklus_hpp</vt:lpstr>
      <vt:lpstr>insiden_downtime_bottleneck</vt:lpstr>
      <vt:lpstr>rekap_kinerja_eksekutif</vt:lpstr>
      <vt:lpstr>simulasi_skenario_demand_range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am87827@gmail.com</cp:lastModifiedBy>
  <dcterms:created xsi:type="dcterms:W3CDTF">2026-10-06T13:15:07Z</dcterms:created>
  <dcterms:modified xsi:type="dcterms:W3CDTF">2026-10-13T13:25:51Z</dcterms:modified>
</cp:coreProperties>
</file>