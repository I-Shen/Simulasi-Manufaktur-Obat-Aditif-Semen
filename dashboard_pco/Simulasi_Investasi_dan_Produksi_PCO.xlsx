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Data_Asal_Produksi_Harian" sheetId="2" state="visible" r:id="rId2"/>
    <sheet name="03_Data_Asal_Biaya_Operasional" sheetId="3" state="visible" r:id="rId3"/>
    <sheet name="04_Data_Asal_Aset_Depresiasi" sheetId="4" state="visible" r:id="rId4"/>
    <sheet name="05_Data_Asal_Penjualan_Invoice" sheetId="5" state="visible" r:id="rId5"/>
    <sheet name="06_Pengolahan_Laba_Rug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Rp&quot;#,##0"/>
    <numFmt numFmtId="165" formatCode="#,##0&quot; Ton/hari (30.000 kg)&quot;"/>
    <numFmt numFmtId="166" formatCode="#,##0&quot; Ton/hari (20.000 kg)&quot;"/>
    <numFmt numFmtId="167" formatCode="#,##0&quot; jam&quot;"/>
    <numFmt numFmtId="168" formatCode="#,##0&quot; hari&quot;"/>
    <numFmt numFmtId="169" formatCode="#,##0&quot; kg (± 520,00 ton)&quot;"/>
    <numFmt numFmtId="170" formatCode="&quot;Rp&quot;#,##0&quot;/kg&quot;"/>
    <numFmt numFmtId="171" formatCode="#,##0&quot; Ton/hari&quot;"/>
    <numFmt numFmtId="172" formatCode="#,##0&quot; kg&quot;"/>
    <numFmt numFmtId="173" formatCode="#,##0&quot; Ton&quot;"/>
  </numFmts>
  <fonts count="2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E2E8F0"/>
      <sz val="11"/>
    </font>
    <font>
      <name val="Segoe UI"/>
      <b val="1"/>
      <color rgb="00FFFFFF"/>
      <sz val="11"/>
    </font>
    <font>
      <name val="Segoe UI"/>
      <sz val="10"/>
    </font>
    <font>
      <name val="Consolas"/>
      <color rgb="000F172A"/>
      <sz val="10"/>
    </font>
    <font>
      <name val="Segoe UI"/>
      <b val="1"/>
      <sz val="10"/>
    </font>
    <font>
      <name val="Consolas"/>
      <b val="1"/>
      <color rgb="001E3A8A"/>
      <sz val="10"/>
    </font>
    <font>
      <name val="Consolas"/>
      <b val="1"/>
      <color rgb="00065F46"/>
      <sz val="10"/>
    </font>
    <font>
      <name val="Consolas"/>
      <b val="1"/>
      <color rgb="000369A1"/>
      <sz val="10"/>
    </font>
    <font>
      <name val="Segoe UI"/>
      <b val="1"/>
      <color rgb="00475569"/>
      <sz val="9"/>
    </font>
    <font>
      <name val="Segoe UI"/>
      <i val="1"/>
      <color rgb="0064748B"/>
      <sz val="9"/>
    </font>
    <font>
      <name val="Segoe UI"/>
      <b val="1"/>
      <color rgb="00065F46"/>
      <sz val="24"/>
    </font>
    <font>
      <name val="Segoe UI"/>
      <b val="1"/>
      <color rgb="00334155"/>
      <sz val="10"/>
    </font>
    <font>
      <name val="Segoe UI"/>
      <b val="1"/>
      <color rgb="000F766E"/>
      <sz val="22"/>
    </font>
    <font>
      <name val="Segoe UI"/>
      <b val="1"/>
      <color rgb="001E40AF"/>
      <sz val="16"/>
    </font>
    <font>
      <name val="Segoe UI"/>
      <b val="1"/>
      <color rgb="0015803D"/>
      <sz val="16"/>
    </font>
    <font>
      <name val="Segoe UI"/>
      <b val="1"/>
      <color rgb="001E293B"/>
      <sz val="9"/>
    </font>
    <font>
      <name val="Segoe UI"/>
      <b val="1"/>
      <color rgb="0092400E"/>
      <sz val="9"/>
    </font>
    <font>
      <name val="Segoe UI"/>
      <b val="1"/>
      <color rgb="00065F46"/>
      <sz val="10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sz val="9"/>
    </font>
    <font>
      <name val="Consolas"/>
      <b val="1"/>
      <sz val="9"/>
    </font>
    <font>
      <name val="Segoe UI"/>
      <sz val="9"/>
    </font>
    <font>
      <name val="Consolas"/>
      <sz val="9"/>
    </font>
    <font>
      <name val="Consolas"/>
      <b val="1"/>
      <sz val="10"/>
    </font>
  </fonts>
  <fills count="20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115E59"/>
        <bgColor rgb="00115E59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CCFBF1"/>
        <bgColor rgb="00CCFBF1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047857"/>
        <bgColor rgb="00047857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D1FAE5"/>
        <bgColor rgb="00D1FAE5"/>
      </patternFill>
    </fill>
    <fill>
      <patternFill patternType="solid">
        <fgColor rgb="00065F46"/>
        <bgColor rgb="00065F46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</fills>
  <borders count="64">
    <border>
      <left/>
      <right/>
      <top/>
      <bottom/>
      <diagonal/>
    </border>
    <border>
      <left style="medium">
        <color rgb="001E3A8A"/>
      </left>
      <right style="thin">
        <color rgb="00E2E8F0"/>
      </right>
      <top style="medium">
        <color rgb="001E3A8A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E3A8A"/>
      </top>
      <bottom style="thin">
        <color rgb="00E2E8F0"/>
      </bottom>
    </border>
    <border>
      <left style="thin">
        <color rgb="00E2E8F0"/>
      </left>
      <right style="medium">
        <color rgb="001E3A8A"/>
      </right>
      <top style="medium">
        <color rgb="001E3A8A"/>
      </top>
      <bottom style="thin">
        <color rgb="00E2E8F0"/>
      </bottom>
    </border>
    <border>
      <left style="medium">
        <color rgb="001E3A8A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1E3A8A"/>
      </right>
      <top style="thin">
        <color rgb="00E2E8F0"/>
      </top>
      <bottom style="thin">
        <color rgb="00E2E8F0"/>
      </bottom>
    </border>
    <border>
      <left style="medium">
        <color rgb="001E3A8A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medium">
        <color rgb="001E3A8A"/>
      </right>
      <top style="thin">
        <color rgb="00E2E8F0"/>
      </top>
      <bottom style="medium">
        <color rgb="001E3A8A"/>
      </bottom>
    </border>
    <border>
      <left style="medium">
        <color rgb="000F766E"/>
      </left>
      <right style="thin">
        <color rgb="00E2E8F0"/>
      </right>
      <top style="medium">
        <color rgb="000F766E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766E"/>
      </top>
      <bottom style="thin">
        <color rgb="00E2E8F0"/>
      </bottom>
    </border>
    <border>
      <left style="thin">
        <color rgb="00E2E8F0"/>
      </left>
      <right style="medium">
        <color rgb="000F766E"/>
      </right>
      <top style="medium">
        <color rgb="000F766E"/>
      </top>
      <bottom style="thin">
        <color rgb="00E2E8F0"/>
      </bottom>
    </border>
    <border>
      <left style="medium">
        <color rgb="000F766E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F766E"/>
      </right>
      <top style="thin">
        <color rgb="00E2E8F0"/>
      </top>
      <bottom style="thin">
        <color rgb="00E2E8F0"/>
      </bottom>
    </border>
    <border>
      <left style="medium">
        <color rgb="000F766E"/>
      </left>
      <right style="thin">
        <color rgb="00E2E8F0"/>
      </right>
      <top style="thin">
        <color rgb="00E2E8F0"/>
      </top>
      <bottom style="medium">
        <color rgb="000F766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F766E"/>
      </bottom>
    </border>
    <border>
      <left style="thin">
        <color rgb="00E2E8F0"/>
      </left>
      <right style="medium">
        <color rgb="000F766E"/>
      </right>
      <top style="thin">
        <color rgb="00E2E8F0"/>
      </top>
      <bottom style="medium">
        <color rgb="000F766E"/>
      </bottom>
    </border>
    <border>
      <left style="medium">
        <color rgb="000369A1"/>
      </left>
      <right style="thin">
        <color rgb="00E2E8F0"/>
      </right>
      <top style="medium">
        <color rgb="000369A1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369A1"/>
      </top>
      <bottom style="thin">
        <color rgb="00E2E8F0"/>
      </bottom>
    </border>
    <border>
      <left style="thin">
        <color rgb="00E2E8F0"/>
      </left>
      <right style="medium">
        <color rgb="000369A1"/>
      </right>
      <top style="medium">
        <color rgb="000369A1"/>
      </top>
      <bottom style="thin">
        <color rgb="00E2E8F0"/>
      </bottom>
    </border>
    <border>
      <left style="medium">
        <color rgb="000369A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369A1"/>
      </right>
      <top style="thin">
        <color rgb="00E2E8F0"/>
      </top>
      <bottom style="thin">
        <color rgb="00E2E8F0"/>
      </bottom>
    </border>
    <border>
      <left style="medium">
        <color rgb="000369A1"/>
      </left>
      <right style="thin">
        <color rgb="00E2E8F0"/>
      </right>
      <top style="thin">
        <color rgb="00E2E8F0"/>
      </top>
      <bottom style="medium">
        <color rgb="000369A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369A1"/>
      </bottom>
    </border>
    <border>
      <left style="thin">
        <color rgb="00E2E8F0"/>
      </left>
      <right style="medium">
        <color rgb="000369A1"/>
      </right>
      <top style="thin">
        <color rgb="00E2E8F0"/>
      </top>
      <bottom style="medium">
        <color rgb="000369A1"/>
      </bottom>
    </border>
    <border>
      <left style="medium">
        <color rgb="00047857"/>
      </left>
      <right style="thin">
        <color rgb="00E2E8F0"/>
      </right>
      <top style="medium">
        <color rgb="00047857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47857"/>
      </top>
      <bottom style="thin">
        <color rgb="00E2E8F0"/>
      </bottom>
    </border>
    <border>
      <left style="thin">
        <color rgb="00E2E8F0"/>
      </left>
      <right style="medium">
        <color rgb="00047857"/>
      </right>
      <top style="medium">
        <color rgb="00047857"/>
      </top>
      <bottom style="thin">
        <color rgb="00E2E8F0"/>
      </bottom>
    </border>
    <border>
      <left style="medium">
        <color rgb="00047857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47857"/>
      </right>
      <top style="thin">
        <color rgb="00E2E8F0"/>
      </top>
      <bottom style="thin">
        <color rgb="00E2E8F0"/>
      </bottom>
    </border>
    <border>
      <left style="medium">
        <color rgb="00047857"/>
      </left>
      <right style="thin">
        <color rgb="00E2E8F0"/>
      </right>
      <top style="thin">
        <color rgb="00E2E8F0"/>
      </top>
      <bottom style="medium">
        <color rgb="00047857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47857"/>
      </bottom>
    </border>
    <border>
      <left style="thin">
        <color rgb="00E2E8F0"/>
      </left>
      <right style="medium">
        <color rgb="00047857"/>
      </right>
      <top style="thin">
        <color rgb="00E2E8F0"/>
      </top>
      <bottom style="medium">
        <color rgb="00047857"/>
      </bottom>
    </border>
    <border>
      <left style="medium">
        <color rgb="00065F46"/>
      </left>
      <right style="thin">
        <color rgb="00E2E8F0"/>
      </right>
      <top style="medium">
        <color rgb="00065F46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65F46"/>
      </top>
      <bottom style="thin">
        <color rgb="00E2E8F0"/>
      </bottom>
    </border>
    <border>
      <left style="thin">
        <color rgb="00E2E8F0"/>
      </left>
      <right style="medium">
        <color rgb="00065F46"/>
      </right>
      <top style="medium">
        <color rgb="00065F46"/>
      </top>
      <bottom style="thin">
        <color rgb="00E2E8F0"/>
      </bottom>
    </border>
    <border>
      <left style="medium">
        <color rgb="00065F4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065F46"/>
      </right>
      <top style="thin">
        <color rgb="00E2E8F0"/>
      </top>
      <bottom style="thin">
        <color rgb="00E2E8F0"/>
      </bottom>
    </border>
    <border>
      <left style="medium">
        <color rgb="00065F46"/>
      </left>
      <right style="thin">
        <color rgb="00E2E8F0"/>
      </right>
      <top style="thin">
        <color rgb="00E2E8F0"/>
      </top>
      <bottom style="medium">
        <color rgb="00065F4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065F46"/>
      </bottom>
    </border>
    <border>
      <left style="thin">
        <color rgb="00E2E8F0"/>
      </left>
      <right style="medium">
        <color rgb="00065F46"/>
      </right>
      <top style="thin">
        <color rgb="00E2E8F0"/>
      </top>
      <bottom style="medium">
        <color rgb="00065F46"/>
      </bottom>
    </border>
    <border>
      <left style="medium">
        <color rgb="00334155"/>
      </left>
      <right style="thin">
        <color rgb="00E2E8F0"/>
      </right>
      <top style="medium">
        <color rgb="00334155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334155"/>
      </top>
      <bottom style="thin">
        <color rgb="00E2E8F0"/>
      </bottom>
    </border>
    <border>
      <left style="thin">
        <color rgb="00E2E8F0"/>
      </left>
      <right style="medium">
        <color rgb="00334155"/>
      </right>
      <top style="medium">
        <color rgb="00334155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thin">
        <color rgb="00E2E8F0"/>
      </bottom>
    </border>
    <border>
      <left style="medium">
        <color rgb="00334155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334155"/>
      </bottom>
    </border>
    <border>
      <left style="thin">
        <color rgb="00E2E8F0"/>
      </left>
      <right style="medium">
        <color rgb="00334155"/>
      </right>
      <top style="thin">
        <color rgb="00E2E8F0"/>
      </top>
      <bottom style="medium">
        <color rgb="00334155"/>
      </bottom>
    </border>
    <border>
      <left style="medium">
        <color rgb="00D97706"/>
      </left>
      <right style="thin">
        <color rgb="00E2E8F0"/>
      </right>
      <top style="medium">
        <color rgb="00D97706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D97706"/>
      </top>
      <bottom style="thin">
        <color rgb="00E2E8F0"/>
      </bottom>
    </border>
    <border>
      <left style="thin">
        <color rgb="00E2E8F0"/>
      </left>
      <right style="medium">
        <color rgb="00D97706"/>
      </right>
      <top style="medium">
        <color rgb="00D97706"/>
      </top>
      <bottom style="thin">
        <color rgb="00E2E8F0"/>
      </bottom>
    </border>
    <border>
      <left style="medium">
        <color rgb="00D97706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D97706"/>
      </right>
      <top style="thin">
        <color rgb="00E2E8F0"/>
      </top>
      <bottom style="thin">
        <color rgb="00E2E8F0"/>
      </bottom>
    </border>
    <border>
      <left style="medium">
        <color rgb="00D97706"/>
      </left>
      <right style="thin">
        <color rgb="00E2E8F0"/>
      </right>
      <top style="thin">
        <color rgb="00E2E8F0"/>
      </top>
      <bottom style="medium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D97706"/>
      </bottom>
    </border>
    <border>
      <left style="thin">
        <color rgb="00E2E8F0"/>
      </left>
      <right style="medium">
        <color rgb="00D97706"/>
      </right>
      <top style="thin">
        <color rgb="00E2E8F0"/>
      </top>
      <bottom style="medium">
        <color rgb="00D97706"/>
      </bottom>
    </border>
    <border>
      <left style="medium">
        <color rgb="001E293B"/>
      </left>
      <right style="thin">
        <color rgb="00E2E8F0"/>
      </right>
      <top style="medium">
        <color rgb="001E293B"/>
      </top>
      <bottom style="thin">
        <color rgb="00E2E8F0"/>
      </bottom>
    </border>
    <border>
      <left style="thin">
        <color rgb="00E2E8F0"/>
      </left>
      <right style="medium">
        <color rgb="001E293B"/>
      </right>
      <top style="medium">
        <color rgb="001E293B"/>
      </top>
      <bottom style="thin">
        <color rgb="00E2E8F0"/>
      </bottom>
    </border>
    <border>
      <left style="medium">
        <color rgb="001E293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medium">
        <color rgb="001E293B"/>
      </right>
      <top style="thin">
        <color rgb="00E2E8F0"/>
      </top>
      <bottom style="thin">
        <color rgb="00E2E8F0"/>
      </bottom>
    </border>
    <border>
      <left style="medium">
        <color rgb="001E293B"/>
      </left>
      <right style="thin">
        <color rgb="00E2E8F0"/>
      </right>
      <top style="thin">
        <color rgb="00E2E8F0"/>
      </top>
      <bottom style="medium">
        <color rgb="001E293B"/>
      </bottom>
    </border>
    <border>
      <left style="thin">
        <color rgb="00E2E8F0"/>
      </left>
      <right style="medium">
        <color rgb="001E293B"/>
      </right>
      <top style="thin">
        <color rgb="00E2E8F0"/>
      </top>
      <bottom style="medium">
        <color rgb="001E293B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3" fillId="10" borderId="26" applyAlignment="1" pivotButton="0" quotePrefix="0" xfId="0">
      <alignment horizontal="left" vertical="center" indent="1"/>
    </xf>
    <xf numFmtId="0" fontId="0" fillId="0" borderId="27" pivotButton="0" quotePrefix="0" xfId="0"/>
    <xf numFmtId="0" fontId="0" fillId="0" borderId="28" pivotButton="0" quotePrefix="0" xfId="0"/>
    <xf numFmtId="0" fontId="3" fillId="14" borderId="34" applyAlignment="1" pivotButton="0" quotePrefix="0" xfId="0">
      <alignment horizontal="left" vertical="center" indent="1"/>
    </xf>
    <xf numFmtId="0" fontId="0" fillId="0" borderId="35" pivotButton="0" quotePrefix="0" xfId="0"/>
    <xf numFmtId="0" fontId="0" fillId="0" borderId="36" pivotButton="0" quotePrefix="0" xfId="0"/>
    <xf numFmtId="0" fontId="4" fillId="0" borderId="4" pivotButton="0" quotePrefix="0" xfId="0"/>
    <xf numFmtId="0" fontId="0" fillId="0" borderId="5" pivotButton="0" quotePrefix="0" xfId="0"/>
    <xf numFmtId="164" fontId="5" fillId="0" borderId="6" applyAlignment="1" pivotButton="0" quotePrefix="0" xfId="0">
      <alignment horizontal="right"/>
    </xf>
    <xf numFmtId="0" fontId="10" fillId="11" borderId="29" pivotButton="0" quotePrefix="0" xfId="0"/>
    <xf numFmtId="0" fontId="10" fillId="11" borderId="5" pivotButton="0" quotePrefix="0" xfId="0"/>
    <xf numFmtId="0" fontId="10" fillId="11" borderId="30" pivotButton="0" quotePrefix="0" xfId="0"/>
    <xf numFmtId="0" fontId="12" fillId="0" borderId="37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 wrapText="1"/>
    </xf>
    <xf numFmtId="0" fontId="0" fillId="0" borderId="38" pivotButton="0" quotePrefix="0" xfId="0"/>
    <xf numFmtId="0" fontId="4" fillId="0" borderId="29" pivotButton="0" quotePrefix="0" xfId="0"/>
    <xf numFmtId="3" fontId="5" fillId="0" borderId="5" applyAlignment="1" pivotButton="0" quotePrefix="0" xfId="0">
      <alignment horizontal="right"/>
    </xf>
    <xf numFmtId="0" fontId="11" fillId="0" borderId="30" pivotButton="0" quotePrefix="0" xfId="0"/>
    <xf numFmtId="0" fontId="0" fillId="0" borderId="37" pivotButton="0" quotePrefix="0" xfId="0"/>
    <xf numFmtId="0" fontId="6" fillId="5" borderId="7" pivotButton="0" quotePrefix="0" xfId="0"/>
    <xf numFmtId="0" fontId="0" fillId="5" borderId="8" pivotButton="0" quotePrefix="0" xfId="0"/>
    <xf numFmtId="164" fontId="7" fillId="5" borderId="9" applyAlignment="1" pivotButton="0" quotePrefix="0" xfId="0">
      <alignment horizontal="right"/>
    </xf>
    <xf numFmtId="0" fontId="14" fillId="0" borderId="37" applyAlignment="1" pivotButton="0" quotePrefix="0" xfId="0">
      <alignment horizontal="center" vertical="center"/>
    </xf>
    <xf numFmtId="0" fontId="3" fillId="6" borderId="10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6" fillId="12" borderId="29" pivotButton="0" quotePrefix="0" xfId="0"/>
    <xf numFmtId="3" fontId="8" fillId="12" borderId="5" applyAlignment="1" pivotButton="0" quotePrefix="0" xfId="0">
      <alignment horizontal="right"/>
    </xf>
    <xf numFmtId="0" fontId="11" fillId="12" borderId="30" pivotButton="0" quotePrefix="0" xfId="0"/>
    <xf numFmtId="0" fontId="15" fillId="0" borderId="37" applyAlignment="1" pivotButton="0" quotePrefix="0" xfId="0">
      <alignment horizontal="center" vertical="center"/>
    </xf>
    <xf numFmtId="0" fontId="4" fillId="0" borderId="13" pivotButton="0" quotePrefix="0" xfId="0"/>
    <xf numFmtId="165" fontId="5" fillId="0" borderId="14" applyAlignment="1" pivotButton="0" quotePrefix="0" xfId="0">
      <alignment horizontal="right"/>
    </xf>
    <xf numFmtId="9" fontId="5" fillId="0" borderId="14" applyAlignment="1" pivotButton="0" quotePrefix="0" xfId="0">
      <alignment horizontal="right"/>
    </xf>
    <xf numFmtId="0" fontId="6" fillId="13" borderId="31" pivotButton="0" quotePrefix="0" xfId="0"/>
    <xf numFmtId="3" fontId="8" fillId="13" borderId="32" applyAlignment="1" pivotButton="0" quotePrefix="0" xfId="0">
      <alignment horizontal="right"/>
    </xf>
    <xf numFmtId="0" fontId="11" fillId="13" borderId="33" pivotButton="0" quotePrefix="0" xfId="0"/>
    <xf numFmtId="0" fontId="16" fillId="0" borderId="37" applyAlignment="1" pivotButton="0" quotePrefix="0" xfId="0">
      <alignment horizontal="center" vertical="center"/>
    </xf>
    <xf numFmtId="166" fontId="5" fillId="0" borderId="14" applyAlignment="1" pivotButton="0" quotePrefix="0" xfId="0">
      <alignment horizontal="right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167" fontId="5" fillId="0" borderId="14" applyAlignment="1" pivotButton="0" quotePrefix="0" xfId="0">
      <alignment horizontal="right"/>
    </xf>
    <xf numFmtId="168" fontId="5" fillId="0" borderId="14" applyAlignment="1" pivotButton="0" quotePrefix="0" xfId="0">
      <alignment horizontal="right"/>
    </xf>
    <xf numFmtId="170" fontId="5" fillId="0" borderId="5" applyAlignment="1" pivotButton="0" quotePrefix="0" xfId="0">
      <alignment horizontal="right"/>
    </xf>
    <xf numFmtId="0" fontId="0" fillId="0" borderId="14" pivotButton="0" quotePrefix="0" xfId="0"/>
    <xf numFmtId="0" fontId="3" fillId="15" borderId="42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4" pivotButton="0" quotePrefix="0" xfId="0"/>
    <xf numFmtId="0" fontId="6" fillId="7" borderId="15" pivotButton="0" quotePrefix="0" xfId="0"/>
    <xf numFmtId="0" fontId="0" fillId="7" borderId="16" pivotButton="0" quotePrefix="0" xfId="0"/>
    <xf numFmtId="169" fontId="8" fillId="7" borderId="17" applyAlignment="1" pivotButton="0" quotePrefix="0" xfId="0">
      <alignment horizontal="right"/>
    </xf>
    <xf numFmtId="0" fontId="17" fillId="16" borderId="45" applyAlignment="1" pivotButton="0" quotePrefix="0" xfId="0">
      <alignment horizontal="left" vertical="center"/>
    </xf>
    <xf numFmtId="0" fontId="0" fillId="0" borderId="46" pivotButton="0" quotePrefix="0" xfId="0"/>
    <xf numFmtId="0" fontId="6" fillId="0" borderId="13" pivotButton="0" quotePrefix="0" xfId="0"/>
    <xf numFmtId="170" fontId="8" fillId="0" borderId="5" applyAlignment="1" pivotButton="0" quotePrefix="0" xfId="0">
      <alignment horizontal="right"/>
    </xf>
    <xf numFmtId="0" fontId="3" fillId="8" borderId="18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20" pivotButton="0" quotePrefix="0" xfId="0"/>
    <xf numFmtId="0" fontId="6" fillId="13" borderId="13" pivotButton="0" quotePrefix="0" xfId="0"/>
    <xf numFmtId="164" fontId="8" fillId="13" borderId="5" applyAlignment="1" pivotButton="0" quotePrefix="0" xfId="0">
      <alignment horizontal="right"/>
    </xf>
    <xf numFmtId="0" fontId="4" fillId="0" borderId="21" pivotButton="0" quotePrefix="0" xfId="0"/>
    <xf numFmtId="170" fontId="5" fillId="0" borderId="22" applyAlignment="1" pivotButton="0" quotePrefix="0" xfId="0">
      <alignment horizontal="right"/>
    </xf>
    <xf numFmtId="0" fontId="6" fillId="13" borderId="15" pivotButton="0" quotePrefix="0" xfId="0"/>
    <xf numFmtId="164" fontId="8" fillId="13" borderId="16" applyAlignment="1" pivotButton="0" quotePrefix="0" xfId="0">
      <alignment horizontal="right"/>
    </xf>
    <xf numFmtId="0" fontId="0" fillId="0" borderId="17" pivotButton="0" quotePrefix="0" xfId="0"/>
    <xf numFmtId="0" fontId="17" fillId="16" borderId="47" applyAlignment="1" pivotButton="0" quotePrefix="0" xfId="0">
      <alignment horizontal="left" vertical="center"/>
    </xf>
    <xf numFmtId="0" fontId="0" fillId="0" borderId="48" pivotButton="0" quotePrefix="0" xfId="0"/>
    <xf numFmtId="0" fontId="0" fillId="0" borderId="49" pivotButton="0" quotePrefix="0" xfId="0"/>
    <xf numFmtId="0" fontId="6" fillId="9" borderId="23" pivotButton="0" quotePrefix="0" xfId="0"/>
    <xf numFmtId="0" fontId="0" fillId="9" borderId="24" pivotButton="0" quotePrefix="0" xfId="0"/>
    <xf numFmtId="164" fontId="9" fillId="9" borderId="25" applyAlignment="1" pivotButton="0" quotePrefix="0" xfId="0">
      <alignment horizontal="right"/>
    </xf>
    <xf numFmtId="0" fontId="3" fillId="17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19" fillId="12" borderId="13" applyAlignment="1" pivotButton="0" quotePrefix="0" xfId="0">
      <alignment horizontal="left" vertical="center" wrapText="1"/>
    </xf>
    <xf numFmtId="0" fontId="18" fillId="18" borderId="53" pivotButton="0" quotePrefix="0" xfId="0"/>
    <xf numFmtId="0" fontId="0" fillId="0" borderId="54" pivotButton="0" quotePrefix="0" xfId="0"/>
    <xf numFmtId="0" fontId="0" fillId="0" borderId="13" pivotButton="0" quotePrefix="0" xfId="0"/>
    <xf numFmtId="0" fontId="18" fillId="18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15" pivotButton="0" quotePrefix="0" xfId="0"/>
    <xf numFmtId="0" fontId="0" fillId="0" borderId="16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19" borderId="58" pivotButton="0" quotePrefix="0" xfId="0"/>
    <xf numFmtId="0" fontId="22" fillId="19" borderId="59" pivotButton="0" quotePrefix="0" xfId="0"/>
    <xf numFmtId="0" fontId="23" fillId="11" borderId="60" pivotButton="0" quotePrefix="0" xfId="0"/>
    <xf numFmtId="171" fontId="24" fillId="16" borderId="61" applyAlignment="1" pivotButton="0" quotePrefix="0" xfId="0">
      <alignment horizontal="right"/>
    </xf>
    <xf numFmtId="0" fontId="22" fillId="19" borderId="0" applyAlignment="1" pivotButton="0" quotePrefix="0" xfId="0">
      <alignment horizontal="center" vertical="center"/>
    </xf>
    <xf numFmtId="9" fontId="24" fillId="16" borderId="61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167" fontId="24" fillId="16" borderId="61" applyAlignment="1" pivotButton="0" quotePrefix="0" xfId="0">
      <alignment horizontal="right"/>
    </xf>
    <xf numFmtId="0" fontId="25" fillId="11" borderId="60" pivotButton="0" quotePrefix="0" xfId="0"/>
    <xf numFmtId="168" fontId="26" fillId="16" borderId="61" applyAlignment="1" pivotButton="0" quotePrefix="0" xfId="0">
      <alignment horizontal="right"/>
    </xf>
    <xf numFmtId="172" fontId="24" fillId="16" borderId="61" applyAlignment="1" pivotButton="0" quotePrefix="0" xfId="0">
      <alignment horizontal="right"/>
    </xf>
    <xf numFmtId="0" fontId="25" fillId="11" borderId="62" pivotButton="0" quotePrefix="0" xfId="0"/>
    <xf numFmtId="173" fontId="26" fillId="16" borderId="63" applyAlignment="1" pivotButton="0" quotePrefix="0" xfId="0">
      <alignment horizontal="right"/>
    </xf>
    <xf numFmtId="0" fontId="8" fillId="13" borderId="0" pivotButton="0" quotePrefix="0" xfId="0"/>
    <xf numFmtId="172" fontId="8" fillId="13" borderId="0" pivotButton="0" quotePrefix="0" xfId="0"/>
    <xf numFmtId="9" fontId="8" fillId="13" borderId="0" pivotButton="0" quotePrefix="0" xfId="0"/>
    <xf numFmtId="164" fontId="0" fillId="0" borderId="0" applyAlignment="1" pivotButton="0" quotePrefix="0" xfId="0">
      <alignment horizontal="right"/>
    </xf>
    <xf numFmtId="0" fontId="6" fillId="5" borderId="0" pivotButton="0" quotePrefix="0" xfId="0"/>
    <xf numFmtId="0" fontId="0" fillId="5" borderId="0" pivotButton="0" quotePrefix="0" xfId="0"/>
    <xf numFmtId="164" fontId="27" fillId="5" borderId="0" applyAlignment="1" pivotButton="0" quotePrefix="0" xfId="0">
      <alignment horizontal="right"/>
    </xf>
    <xf numFmtId="3" fontId="27" fillId="5" borderId="0" applyAlignment="1" pivotButton="0" quotePrefix="0" xfId="0">
      <alignment horizontal="right"/>
    </xf>
    <xf numFmtId="0" fontId="6" fillId="7" borderId="0" pivotButton="0" quotePrefix="0" xfId="0"/>
    <xf numFmtId="0" fontId="0" fillId="7" borderId="0" pivotButton="0" quotePrefix="0" xfId="0"/>
    <xf numFmtId="164" fontId="27" fillId="7" borderId="0" applyAlignment="1" pivotButton="0" quotePrefix="0" xfId="0">
      <alignment horizontal="right"/>
    </xf>
    <xf numFmtId="3" fontId="27" fillId="7" borderId="0" applyAlignment="1" pivotButton="0" quotePrefix="0" xfId="0">
      <alignment horizontal="right"/>
    </xf>
    <xf numFmtId="0" fontId="6" fillId="18" borderId="0" pivotButton="0" quotePrefix="0" xfId="0"/>
    <xf numFmtId="0" fontId="0" fillId="18" borderId="0" pivotButton="0" quotePrefix="0" xfId="0"/>
    <xf numFmtId="164" fontId="27" fillId="18" borderId="0" applyAlignment="1" pivotButton="0" quotePrefix="0" xfId="0">
      <alignment horizontal="right"/>
    </xf>
    <xf numFmtId="3" fontId="27" fillId="18" borderId="0" applyAlignment="1" pivotButton="0" quotePrefix="0" xfId="0">
      <alignment horizontal="right"/>
    </xf>
    <xf numFmtId="0" fontId="6" fillId="13" borderId="0" pivotButton="0" quotePrefix="0" xfId="0"/>
    <xf numFmtId="0" fontId="0" fillId="13" borderId="0" pivotButton="0" quotePrefix="0" xfId="0"/>
    <xf numFmtId="164" fontId="27" fillId="13" borderId="0" applyAlignment="1" pivotButton="0" quotePrefix="0" xfId="0">
      <alignment horizontal="right"/>
    </xf>
    <xf numFmtId="3" fontId="27" fillId="1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4" fontId="6" fillId="5" borderId="0" applyAlignment="1" pivotButton="0" quotePrefix="0" xfId="0">
      <alignment horizontal="right"/>
    </xf>
    <xf numFmtId="4" fontId="6" fillId="5" borderId="0" applyAlignment="1" pivotButton="0" quotePrefix="0" xfId="0">
      <alignment horizontal="right"/>
    </xf>
    <xf numFmtId="164" fontId="6" fillId="7" borderId="0" applyAlignment="1" pivotButton="0" quotePrefix="0" xfId="0">
      <alignment horizontal="right"/>
    </xf>
    <xf numFmtId="4" fontId="6" fillId="7" borderId="0" applyAlignment="1" pivotButton="0" quotePrefix="0" xfId="0">
      <alignment horizontal="right"/>
    </xf>
    <xf numFmtId="164" fontId="6" fillId="13" borderId="0" applyAlignment="1" pivotButton="0" quotePrefix="0" xfId="0">
      <alignment horizontal="right"/>
    </xf>
    <xf numFmtId="4" fontId="6" fillId="13" borderId="0" applyAlignment="1" pivotButton="0" quotePrefix="0" xfId="0">
      <alignment horizontal="right"/>
    </xf>
    <xf numFmtId="0" fontId="22" fillId="19" borderId="0" pivotButton="0" quotePrefix="0" xfId="0"/>
    <xf numFmtId="170" fontId="8" fillId="13" borderId="0" pivotButton="0" quotePrefix="0" xfId="0"/>
    <xf numFmtId="164" fontId="8" fillId="13" borderId="0" pivotButton="0" quotePrefix="0" xfId="0"/>
    <xf numFmtId="0" fontId="6" fillId="9" borderId="0" pivotButton="0" quotePrefix="0" xfId="0"/>
    <xf numFmtId="164" fontId="6" fillId="9" borderId="0" applyAlignment="1" pivotButton="0" quotePrefix="0" xfId="0">
      <alignment horizontal="right"/>
    </xf>
    <xf numFmtId="10" fontId="6" fillId="9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6" fillId="12" borderId="0" pivotButton="0" quotePrefix="0" xfId="0"/>
    <xf numFmtId="164" fontId="6" fillId="12" borderId="0" applyAlignment="1" pivotButton="0" quotePrefix="0" xfId="0">
      <alignment horizontal="right"/>
    </xf>
    <xf numFmtId="10" fontId="6" fillId="12" borderId="0" applyAlignment="1" pivotButton="0" quotePrefix="0" xfId="0">
      <alignment horizontal="right"/>
    </xf>
    <xf numFmtId="164" fontId="6" fillId="18" borderId="0" applyAlignment="1" pivotButton="0" quotePrefix="0" xfId="0">
      <alignment horizontal="right"/>
    </xf>
    <xf numFmtId="10" fontId="6" fillId="18" borderId="0" applyAlignment="1" pivotButton="0" quotePrefix="0" xfId="0">
      <alignment horizontal="right"/>
    </xf>
    <xf numFmtId="10" fontId="6" fillId="1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4" customWidth="1" min="3" max="3"/>
    <col width="4" customWidth="1" min="4" max="4"/>
    <col width="26" customWidth="1" min="5" max="5"/>
    <col width="16" customWidth="1" min="6" max="6"/>
    <col width="26" customWidth="1" min="7" max="7"/>
    <col width="4" customWidth="1" min="8" max="8"/>
    <col width="16" customWidth="1" min="9" max="9"/>
    <col width="20" customWidth="1" min="10" max="10"/>
    <col width="28" customWidth="1" min="11" max="11"/>
  </cols>
  <sheetData>
    <row r="1" ht="36" customHeight="1">
      <c r="A1" s="1" t="inlineStr">
        <is>
          <t>PROPOSAL INVESTASI PRODUKSI PCO (REVISI PARAMETER CPO)</t>
        </is>
      </c>
    </row>
    <row r="2" ht="24" customHeight="1">
      <c r="A2" s="2" t="inlineStr">
        <is>
          <t>Dari Bahan Baku Menjadi Produk Bernilai Ekonomi | Parameter Pembaruan Terkini: 4 Mesin Rp 3,6 M, Gudang Rp 1,4 M, 20 Ton/Hari, 21 Jam Operasi</t>
        </is>
      </c>
    </row>
    <row r="3"/>
    <row r="4">
      <c r="A4" s="3" t="inlineStr">
        <is>
          <t>1. INVESTASI</t>
        </is>
      </c>
      <c r="B4" s="4" t="n"/>
      <c r="C4" s="5" t="n"/>
      <c r="E4" s="6" t="inlineStr">
        <is>
          <t>4. STRUKTUR HPP</t>
        </is>
      </c>
      <c r="F4" s="7" t="n"/>
      <c r="G4" s="8" t="n"/>
      <c r="I4" s="9" t="inlineStr">
        <is>
          <t>KEY HIGHLIGHTS</t>
        </is>
      </c>
      <c r="J4" s="10" t="n"/>
      <c r="K4" s="11" t="n"/>
    </row>
    <row r="5">
      <c r="A5" s="12" t="inlineStr">
        <is>
          <t>4 Unit Mesin (@ Rp 900 juta)</t>
        </is>
      </c>
      <c r="B5" s="13" t="n"/>
      <c r="C5" s="14">
        <f>04_Data_Asal_Aset_Depresiasi!E9</f>
        <v/>
      </c>
      <c r="E5" s="15" t="inlineStr">
        <is>
          <t>Komponen</t>
        </is>
      </c>
      <c r="F5" s="16" t="inlineStr">
        <is>
          <t>Rp/kg</t>
        </is>
      </c>
      <c r="G5" s="17" t="inlineStr">
        <is>
          <t>Keterangan</t>
        </is>
      </c>
      <c r="I5" s="18" t="inlineStr">
        <is>
          <t>4</t>
        </is>
      </c>
      <c r="J5" s="19" t="inlineStr">
        <is>
          <t>Unit Mesin
Investasi Rp 3,6 Miliar</t>
        </is>
      </c>
      <c r="K5" s="20" t="n"/>
    </row>
    <row r="6">
      <c r="A6" s="12" t="inlineStr">
        <is>
          <t>Pembangunan Gudang</t>
        </is>
      </c>
      <c r="B6" s="13" t="n"/>
      <c r="C6" s="14">
        <f>04_Data_Asal_Aset_Depresiasi!E10</f>
        <v/>
      </c>
      <c r="E6" s="21" t="inlineStr">
        <is>
          <t>Raw Mat efektif</t>
        </is>
      </c>
      <c r="F6" s="22">
        <f>03_Data_Asal_Biaya_Operasional!E8</f>
        <v/>
      </c>
      <c r="G6" s="23" t="inlineStr">
        <is>
          <t>Penyesuaian CPO (Rp 2.000/kg)</t>
        </is>
      </c>
      <c r="I6" s="24" t="n"/>
      <c r="J6" s="13" t="n"/>
      <c r="K6" s="20" t="n"/>
    </row>
    <row r="7">
      <c r="A7" s="25" t="inlineStr">
        <is>
          <t>Total Investasi</t>
        </is>
      </c>
      <c r="B7" s="26" t="n"/>
      <c r="C7" s="27">
        <f>C5+C6</f>
        <v/>
      </c>
      <c r="E7" s="21" t="inlineStr">
        <is>
          <t>Biaya produksi</t>
        </is>
      </c>
      <c r="F7" s="22">
        <f>03_Data_Asal_Biaya_Operasional!E16</f>
        <v/>
      </c>
      <c r="G7" s="23" t="inlineStr">
        <is>
          <t>Operasional proses (Rp 2.000/kg)</t>
        </is>
      </c>
      <c r="I7" s="28" t="inlineStr">
        <is>
          <t>520</t>
        </is>
      </c>
      <c r="J7" s="19" t="inlineStr">
        <is>
          <t>Ton / Bulan
Produksi Jadi (20 Ton/hari)</t>
        </is>
      </c>
      <c r="K7" s="20" t="n"/>
    </row>
    <row r="8">
      <c r="E8" s="21" t="inlineStr">
        <is>
          <t>Sewa gudang</t>
        </is>
      </c>
      <c r="F8" s="22">
        <f>03_Data_Asal_Biaya_Operasional!E22</f>
        <v/>
      </c>
      <c r="G8" s="23" t="inlineStr">
        <is>
          <t>Alokasi biaya gudang</t>
        </is>
      </c>
      <c r="I8" s="24" t="n"/>
      <c r="J8" s="13" t="n"/>
      <c r="K8" s="20" t="n"/>
    </row>
    <row r="9">
      <c r="A9" s="29" t="inlineStr">
        <is>
          <t>2. KAPASITAS &amp; PRODUKSI</t>
        </is>
      </c>
      <c r="B9" s="30" t="n"/>
      <c r="C9" s="31" t="n"/>
      <c r="E9" s="32" t="inlineStr">
        <is>
          <t>Cash HPP</t>
        </is>
      </c>
      <c r="F9" s="33">
        <f>SUM(F6:F8)</f>
        <v/>
      </c>
      <c r="G9" s="34" t="inlineStr">
        <is>
          <t>Total Kas Pengeluaran</t>
        </is>
      </c>
      <c r="I9" s="35" t="inlineStr">
        <is>
          <t>Rp4,32 M</t>
        </is>
      </c>
      <c r="J9" s="19" t="inlineStr">
        <is>
          <t>Omzet / bulan
(520.000 kg x Rp8.300)</t>
        </is>
      </c>
      <c r="K9" s="20" t="n"/>
    </row>
    <row r="10">
      <c r="A10" s="36" t="inlineStr">
        <is>
          <t>Kapasitas sebelum yield</t>
        </is>
      </c>
      <c r="B10" s="13" t="n"/>
      <c r="C10" s="37">
        <f>02_Data_Asal_Produksi_Harian!M4</f>
        <v/>
      </c>
      <c r="E10" s="21" t="inlineStr">
        <is>
          <t>Depresiasi</t>
        </is>
      </c>
      <c r="F10" s="22">
        <f>04_Data_Asal_Aset_Depresiasi!E13</f>
        <v/>
      </c>
      <c r="G10" s="23" t="inlineStr">
        <is>
          <t>Capex Rp 5 M (5 tahun)</t>
        </is>
      </c>
      <c r="I10" s="24" t="n"/>
      <c r="J10" s="13" t="n"/>
      <c r="K10" s="20" t="n"/>
    </row>
    <row r="11">
      <c r="A11" s="36" t="inlineStr">
        <is>
          <t>Yield produksi</t>
        </is>
      </c>
      <c r="B11" s="13" t="n"/>
      <c r="C11" s="38">
        <f>02_Data_Asal_Produksi_Harian!M5</f>
        <v/>
      </c>
      <c r="E11" s="39" t="inlineStr">
        <is>
          <t>Full HPP</t>
        </is>
      </c>
      <c r="F11" s="40">
        <f>F9+F10</f>
        <v/>
      </c>
      <c r="G11" s="41" t="inlineStr">
        <is>
          <t>Total Cost of Goods Sold</t>
        </is>
      </c>
      <c r="I11" s="42" t="inlineStr">
        <is>
          <t>Rp1,90 M</t>
        </is>
      </c>
      <c r="J11" s="19" t="inlineStr">
        <is>
          <t>Laba / bulan
(Rp22,79 Miliar / tahun)</t>
        </is>
      </c>
      <c r="K11" s="20" t="n"/>
    </row>
    <row r="12">
      <c r="A12" s="36" t="inlineStr">
        <is>
          <t>Produk jadi setelah yield</t>
        </is>
      </c>
      <c r="B12" s="13" t="n"/>
      <c r="C12" s="43">
        <f>02_Data_Asal_Produksi_Harian!M6</f>
        <v/>
      </c>
      <c r="I12" s="44" t="n"/>
      <c r="J12" s="45" t="n"/>
      <c r="K12" s="46" t="n"/>
    </row>
    <row r="13">
      <c r="A13" s="36" t="inlineStr">
        <is>
          <t>Jam operasi per hari</t>
        </is>
      </c>
      <c r="B13" s="13" t="n"/>
      <c r="C13" s="47">
        <f>02_Data_Asal_Produksi_Harian!M7</f>
        <v/>
      </c>
      <c r="E13" s="29" t="inlineStr">
        <is>
          <t>5. PROFITABILITAS</t>
        </is>
      </c>
      <c r="F13" s="30" t="n"/>
      <c r="G13" s="31" t="n"/>
    </row>
    <row r="14">
      <c r="A14" s="36" t="inlineStr">
        <is>
          <t>Hari kerja per bulan</t>
        </is>
      </c>
      <c r="B14" s="13" t="n"/>
      <c r="C14" s="48">
        <f>02_Data_Asal_Produksi_Harian!M8</f>
        <v/>
      </c>
      <c r="E14" s="36" t="inlineStr">
        <is>
          <t>Harga jual</t>
        </is>
      </c>
      <c r="F14" s="49">
        <f>C18</f>
        <v/>
      </c>
      <c r="G14" s="50" t="n"/>
      <c r="I14" s="51" t="inlineStr">
        <is>
          <t>ALUR NILAI</t>
        </is>
      </c>
      <c r="J14" s="52" t="n"/>
      <c r="K14" s="53" t="n"/>
    </row>
    <row r="15">
      <c r="A15" s="54" t="inlineStr">
        <is>
          <t>Produksi per bulan</t>
        </is>
      </c>
      <c r="B15" s="55" t="n"/>
      <c r="C15" s="56">
        <f>C12*C14*1000</f>
        <v/>
      </c>
      <c r="E15" s="36" t="inlineStr">
        <is>
          <t>Full HPP</t>
        </is>
      </c>
      <c r="F15" s="49">
        <f>F11</f>
        <v/>
      </c>
      <c r="G15" s="50" t="n"/>
      <c r="I15" s="57" t="inlineStr">
        <is>
          <t>Bahan Baku      ──▶  Input Curah 30 Ton/hari</t>
        </is>
      </c>
      <c r="J15" s="13" t="n"/>
      <c r="K15" s="58" t="n"/>
    </row>
    <row r="16">
      <c r="E16" s="59" t="inlineStr">
        <is>
          <t>Laba per kg</t>
        </is>
      </c>
      <c r="F16" s="60">
        <f>F14-F15</f>
        <v/>
      </c>
      <c r="G16" s="50" t="n"/>
      <c r="I16" s="57" t="inlineStr">
        <is>
          <t>Proses Produksi ──▶  Pengolahan 4 Mesin (Yield 70%)</t>
        </is>
      </c>
      <c r="J16" s="13" t="n"/>
      <c r="K16" s="58" t="n"/>
    </row>
    <row r="17">
      <c r="A17" s="61" t="inlineStr">
        <is>
          <t>3. HARGA JUAL &amp; OMZET</t>
        </is>
      </c>
      <c r="B17" s="62" t="n"/>
      <c r="C17" s="63" t="n"/>
      <c r="E17" s="64" t="inlineStr">
        <is>
          <t>Laba per bulan (520.000 kg)</t>
        </is>
      </c>
      <c r="F17" s="65">
        <f>F16*C15</f>
        <v/>
      </c>
      <c r="G17" s="50" t="n"/>
      <c r="I17" s="57" t="inlineStr">
        <is>
          <t>PCO Produk Jadi ──▶  Output Bersih 20 Ton/hari (21 Jam)</t>
        </is>
      </c>
      <c r="J17" s="13" t="n"/>
      <c r="K17" s="58" t="n"/>
    </row>
    <row r="18">
      <c r="A18" s="66" t="inlineStr">
        <is>
          <t>Harga jual</t>
        </is>
      </c>
      <c r="B18" s="13" t="n"/>
      <c r="C18" s="67">
        <f>05_Data_Asal_Penjualan_Invoice!K3</f>
        <v/>
      </c>
      <c r="E18" s="68" t="inlineStr">
        <is>
          <t>Laba per tahun</t>
        </is>
      </c>
      <c r="F18" s="69">
        <f>F17*12</f>
        <v/>
      </c>
      <c r="G18" s="70" t="n"/>
      <c r="I18" s="71" t="inlineStr">
        <is>
          <t>Nilai Ekonomi   ──▶  Margin Tinggi untuk Industri</t>
        </is>
      </c>
      <c r="J18" s="72" t="n"/>
      <c r="K18" s="73" t="n"/>
    </row>
    <row r="19">
      <c r="A19" s="74" t="inlineStr">
        <is>
          <t>Omzet per bulan</t>
        </is>
      </c>
      <c r="B19" s="75" t="n"/>
      <c r="C19" s="76">
        <f>C15*C18</f>
        <v/>
      </c>
    </row>
    <row r="20">
      <c r="I20" s="29" t="inlineStr">
        <is>
          <t>EXECUTIVE CONCLUSION</t>
        </is>
      </c>
      <c r="J20" s="30" t="n"/>
      <c r="K20" s="31" t="n"/>
    </row>
    <row r="21">
      <c r="A21" s="77" t="inlineStr">
        <is>
          <t>CATATAN PENTING</t>
        </is>
      </c>
      <c r="B21" s="78" t="n"/>
      <c r="C21" s="78" t="n"/>
      <c r="D21" s="78" t="n"/>
      <c r="E21" s="78" t="n"/>
      <c r="F21" s="78" t="n"/>
      <c r="G21" s="79" t="n"/>
      <c r="I21" s="80" t="inlineStr">
        <is>
          <t>Investasi kapasitas 20 Ton/hari (520 Ton/bln) memiliki potensi margin luar biasa (Laba Rp 22,79 Miliar/tahun dengan Payback Period ±2,6 Bulan atas Capex Rp 5 Miliar). Validasi biaya operasional, pasar, pajak, modal kerja, dan utilitas 21 jam/hari diperlukan sebelum keputusan final.</t>
        </is>
      </c>
      <c r="J21" s="13" t="n"/>
      <c r="K21" s="50" t="n"/>
    </row>
    <row r="22">
      <c r="A22" s="81" t="inlineStr">
        <is>
          <t>1. Perhitungan di atas belum dikurangi pajak penghasilan badan.</t>
        </is>
      </c>
      <c r="B22" s="13" t="n"/>
      <c r="C22" s="13" t="n"/>
      <c r="D22" s="13" t="n"/>
      <c r="E22" s="13" t="n"/>
      <c r="F22" s="13" t="n"/>
      <c r="G22" s="82" t="n"/>
      <c r="I22" s="83" t="n"/>
      <c r="J22" s="13" t="n"/>
      <c r="K22" s="50" t="n"/>
    </row>
    <row r="23">
      <c r="A23" s="81" t="inlineStr">
        <is>
          <t>2. Belum termasuk bunga/modal kerja untuk skala kapasitas 520 Ton/bulan.</t>
        </is>
      </c>
      <c r="B23" s="13" t="n"/>
      <c r="C23" s="13" t="n"/>
      <c r="D23" s="13" t="n"/>
      <c r="E23" s="13" t="n"/>
      <c r="F23" s="13" t="n"/>
      <c r="G23" s="82" t="n"/>
      <c r="I23" s="83" t="n"/>
      <c r="J23" s="13" t="n"/>
      <c r="K23" s="50" t="n"/>
    </row>
    <row r="24">
      <c r="A24" s="81" t="inlineStr">
        <is>
          <t>3. Belum termasuk biaya lain di luar asumsi tersebut.</t>
        </is>
      </c>
      <c r="B24" s="13" t="n"/>
      <c r="C24" s="13" t="n"/>
      <c r="D24" s="13" t="n"/>
      <c r="E24" s="13" t="n"/>
      <c r="F24" s="13" t="n"/>
      <c r="G24" s="82" t="n"/>
      <c r="I24" s="83" t="n"/>
      <c r="J24" s="13" t="n"/>
      <c r="K24" s="50" t="n"/>
    </row>
    <row r="25">
      <c r="A25" s="84" t="inlineStr">
        <is>
          <t>4. Angka dapat berubah sesuai kondisi aktual di lapangan.</t>
        </is>
      </c>
      <c r="B25" s="85" t="n"/>
      <c r="C25" s="85" t="n"/>
      <c r="D25" s="85" t="n"/>
      <c r="E25" s="85" t="n"/>
      <c r="F25" s="85" t="n"/>
      <c r="G25" s="86" t="n"/>
      <c r="I25" s="87" t="n"/>
      <c r="J25" s="88" t="n"/>
      <c r="K25" s="70" t="n"/>
    </row>
  </sheetData>
  <mergeCells count="44">
    <mergeCell ref="I16:K16"/>
    <mergeCell ref="A15:B15"/>
    <mergeCell ref="E13:G13"/>
    <mergeCell ref="F16:G16"/>
    <mergeCell ref="A11:B11"/>
    <mergeCell ref="A22:G22"/>
    <mergeCell ref="J7:K8"/>
    <mergeCell ref="I7:I8"/>
    <mergeCell ref="I18:K18"/>
    <mergeCell ref="A1:K1"/>
    <mergeCell ref="A6:B6"/>
    <mergeCell ref="A7:B7"/>
    <mergeCell ref="F15:G15"/>
    <mergeCell ref="I14:K14"/>
    <mergeCell ref="F18:G18"/>
    <mergeCell ref="A17:C17"/>
    <mergeCell ref="A24:G24"/>
    <mergeCell ref="I17:K17"/>
    <mergeCell ref="I21:K25"/>
    <mergeCell ref="I4:K4"/>
    <mergeCell ref="A18:B18"/>
    <mergeCell ref="A4:C4"/>
    <mergeCell ref="J5:K6"/>
    <mergeCell ref="I20:K20"/>
    <mergeCell ref="F17:G17"/>
    <mergeCell ref="I5:I6"/>
    <mergeCell ref="A12:B12"/>
    <mergeCell ref="A5:B5"/>
    <mergeCell ref="A2:K2"/>
    <mergeCell ref="A9:C9"/>
    <mergeCell ref="A14:B14"/>
    <mergeCell ref="A25:G25"/>
    <mergeCell ref="I15:K15"/>
    <mergeCell ref="J9:K10"/>
    <mergeCell ref="I9:I10"/>
    <mergeCell ref="A19:B19"/>
    <mergeCell ref="A21:G21"/>
    <mergeCell ref="A10:B10"/>
    <mergeCell ref="A13:B13"/>
    <mergeCell ref="E4:G4"/>
    <mergeCell ref="F14:G14"/>
    <mergeCell ref="J11:K12"/>
    <mergeCell ref="I11:I1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3" customWidth="1" min="2" max="2"/>
    <col width="16" customWidth="1" min="3" max="3"/>
    <col width="32" customWidth="1" min="4" max="4"/>
    <col width="18" customWidth="1" min="5" max="5"/>
    <col width="21" customWidth="1" min="6" max="6"/>
    <col width="19" customWidth="1" min="7" max="7"/>
    <col width="23" customWidth="1" min="8" max="8"/>
    <col width="20" customWidth="1" min="9" max="9"/>
    <col width="48" customWidth="1" min="10" max="10"/>
    <col width="12" customWidth="1" min="11" max="11"/>
    <col width="28" customWidth="1" min="12" max="12"/>
    <col width="18" customWidth="1" min="13" max="13"/>
  </cols>
  <sheetData>
    <row r="1">
      <c r="A1" s="89" t="inlineStr">
        <is>
          <t>LOG DATA ASAL PRODUKSI HARIAN — PABRIK PCO (REVISI CPO.TXT)</t>
        </is>
      </c>
    </row>
    <row r="2">
      <c r="A2" s="90" t="inlineStr">
        <is>
          <t>Rekaman Transaksional 26 Hari Kerja Operasional (30 Ton Input, 20 Ton Output, 21 Jam/Hari)</t>
        </is>
      </c>
    </row>
    <row r="3">
      <c r="L3" s="91" t="inlineStr">
        <is>
          <t>PARAMETER DESAIN PABRIK</t>
        </is>
      </c>
      <c r="M3" s="92" t="inlineStr">
        <is>
          <t>NILAI MODEL</t>
        </is>
      </c>
    </row>
    <row r="4">
      <c r="L4" s="93" t="inlineStr">
        <is>
          <t>Kapasitas Sebelum Yield</t>
        </is>
      </c>
      <c r="M4" s="94" t="n">
        <v>30</v>
      </c>
    </row>
    <row r="5">
      <c r="A5" s="95" t="inlineStr">
        <is>
          <t>No</t>
        </is>
      </c>
      <c r="B5" s="95" t="inlineStr">
        <is>
          <t>Tanggal</t>
        </is>
      </c>
      <c r="C5" s="95" t="inlineStr">
        <is>
          <t>Hari Kerja</t>
        </is>
      </c>
      <c r="D5" s="95" t="inlineStr">
        <is>
          <t>Status 4 Mesin</t>
        </is>
      </c>
      <c r="E5" s="95" t="inlineStr">
        <is>
          <t>Jam Operasi</t>
        </is>
      </c>
      <c r="F5" s="95" t="inlineStr">
        <is>
          <t>Input Raw Mat (kg)</t>
        </is>
      </c>
      <c r="G5" s="95" t="inlineStr">
        <is>
          <t>Yield Aktual (%)</t>
        </is>
      </c>
      <c r="H5" s="95" t="inlineStr">
        <is>
          <t>Output PCO Jadi (kg)</t>
        </is>
      </c>
      <c r="I5" s="95" t="inlineStr">
        <is>
          <t>Process Loss (kg)</t>
        </is>
      </c>
      <c r="J5" s="95" t="inlineStr">
        <is>
          <t>Keterangan Shift &amp; QC</t>
        </is>
      </c>
      <c r="L5" s="93" t="inlineStr">
        <is>
          <t>Yield Produksi</t>
        </is>
      </c>
      <c r="M5" s="96" t="n">
        <v>0.7</v>
      </c>
    </row>
    <row r="6">
      <c r="A6" s="97" t="n">
        <v>1</v>
      </c>
      <c r="B6" s="97" t="inlineStr">
        <is>
          <t>2026-10-01</t>
        </is>
      </c>
      <c r="C6" s="97" t="inlineStr">
        <is>
          <t>Hari Ke-1</t>
        </is>
      </c>
      <c r="D6" s="97" t="inlineStr">
        <is>
          <t>4 Unit Aktif (21 Jam Operasi)</t>
        </is>
      </c>
      <c r="E6" s="97" t="n">
        <v>21</v>
      </c>
      <c r="F6" s="98" t="n">
        <v>30000</v>
      </c>
      <c r="G6" s="99" t="n">
        <v>0.7</v>
      </c>
      <c r="H6" s="98" t="n">
        <v>20000</v>
      </c>
      <c r="I6" s="98">
        <f>F6-H6</f>
        <v/>
      </c>
      <c r="J6" s="100" t="inlineStr">
        <is>
          <t>Operasi 3 Shift Kontinu (QC Pass)</t>
        </is>
      </c>
      <c r="L6" s="93" t="inlineStr">
        <is>
          <t>Produk Jadi Setelah Yield</t>
        </is>
      </c>
      <c r="M6" s="94" t="n">
        <v>20</v>
      </c>
    </row>
    <row r="7">
      <c r="A7" s="97" t="n">
        <v>2</v>
      </c>
      <c r="B7" s="97" t="inlineStr">
        <is>
          <t>2026-10-02</t>
        </is>
      </c>
      <c r="C7" s="97" t="inlineStr">
        <is>
          <t>Hari Ke-2</t>
        </is>
      </c>
      <c r="D7" s="97" t="inlineStr">
        <is>
          <t>4 Unit Aktif (21 Jam Operasi)</t>
        </is>
      </c>
      <c r="E7" s="97" t="n">
        <v>21</v>
      </c>
      <c r="F7" s="98" t="n">
        <v>30000</v>
      </c>
      <c r="G7" s="99" t="n">
        <v>0.7</v>
      </c>
      <c r="H7" s="98" t="n">
        <v>20000</v>
      </c>
      <c r="I7" s="98">
        <f>F7-H7</f>
        <v/>
      </c>
      <c r="J7" s="100" t="inlineStr">
        <is>
          <t>Operasi 3 Shift Kontinu (QC Pass)</t>
        </is>
      </c>
      <c r="L7" s="93" t="inlineStr">
        <is>
          <t>Jam Operasi per Hari</t>
        </is>
      </c>
      <c r="M7" s="101" t="n">
        <v>21</v>
      </c>
    </row>
    <row r="8">
      <c r="A8" s="97" t="n">
        <v>3</v>
      </c>
      <c r="B8" s="97" t="inlineStr">
        <is>
          <t>2026-10-03</t>
        </is>
      </c>
      <c r="C8" s="97" t="inlineStr">
        <is>
          <t>Hari Ke-3</t>
        </is>
      </c>
      <c r="D8" s="97" t="inlineStr">
        <is>
          <t>4 Unit Aktif (21 Jam Operasi)</t>
        </is>
      </c>
      <c r="E8" s="97" t="n">
        <v>21</v>
      </c>
      <c r="F8" s="98" t="n">
        <v>30000</v>
      </c>
      <c r="G8" s="99" t="n">
        <v>0.7</v>
      </c>
      <c r="H8" s="98" t="n">
        <v>20000</v>
      </c>
      <c r="I8" s="98">
        <f>F8-H8</f>
        <v/>
      </c>
      <c r="J8" s="100" t="inlineStr">
        <is>
          <t>Operasi 3 Shift Kontinu (QC Pass)</t>
        </is>
      </c>
      <c r="L8" s="102" t="inlineStr">
        <is>
          <t>Hari Kerja per Bulan</t>
        </is>
      </c>
      <c r="M8" s="103" t="n">
        <v>26</v>
      </c>
    </row>
    <row r="9">
      <c r="A9" s="97" t="n">
        <v>4</v>
      </c>
      <c r="B9" s="97" t="inlineStr">
        <is>
          <t>2026-10-04</t>
        </is>
      </c>
      <c r="C9" s="97" t="inlineStr">
        <is>
          <t>Hari Ke-4</t>
        </is>
      </c>
      <c r="D9" s="97" t="inlineStr">
        <is>
          <t>4 Unit Aktif (21 Jam Operasi)</t>
        </is>
      </c>
      <c r="E9" s="97" t="n">
        <v>21</v>
      </c>
      <c r="F9" s="98" t="n">
        <v>30000</v>
      </c>
      <c r="G9" s="99" t="n">
        <v>0.7</v>
      </c>
      <c r="H9" s="98" t="n">
        <v>20000</v>
      </c>
      <c r="I9" s="98">
        <f>F9-H9</f>
        <v/>
      </c>
      <c r="J9" s="100" t="inlineStr">
        <is>
          <t>Operasi 3 Shift Kontinu (QC Pass)</t>
        </is>
      </c>
      <c r="L9" s="93" t="inlineStr">
        <is>
          <t>Produksi Bersih per Bulan</t>
        </is>
      </c>
      <c r="M9" s="104">
        <f>M6*M8*1000</f>
        <v/>
      </c>
    </row>
    <row r="10">
      <c r="A10" s="97" t="n">
        <v>5</v>
      </c>
      <c r="B10" s="97" t="inlineStr">
        <is>
          <t>2026-10-05</t>
        </is>
      </c>
      <c r="C10" s="97" t="inlineStr">
        <is>
          <t>Hari Ke-5</t>
        </is>
      </c>
      <c r="D10" s="97" t="inlineStr">
        <is>
          <t>4 Unit Aktif (21 Jam Operasi)</t>
        </is>
      </c>
      <c r="E10" s="97" t="n">
        <v>21</v>
      </c>
      <c r="F10" s="98" t="n">
        <v>30000</v>
      </c>
      <c r="G10" s="99" t="n">
        <v>0.7</v>
      </c>
      <c r="H10" s="98" t="n">
        <v>20000</v>
      </c>
      <c r="I10" s="98">
        <f>F10-H10</f>
        <v/>
      </c>
      <c r="J10" s="100" t="inlineStr">
        <is>
          <t>Operasi 3 Shift Kontinu (QC Pass)</t>
        </is>
      </c>
      <c r="L10" s="105" t="inlineStr">
        <is>
          <t>Produksi Bersih (Ton)</t>
        </is>
      </c>
      <c r="M10" s="106">
        <f>M9/1000</f>
        <v/>
      </c>
    </row>
    <row r="11">
      <c r="A11" s="97" t="n">
        <v>6</v>
      </c>
      <c r="B11" s="97" t="inlineStr">
        <is>
          <t>2026-10-06</t>
        </is>
      </c>
      <c r="C11" s="97" t="inlineStr">
        <is>
          <t>Hari Ke-6</t>
        </is>
      </c>
      <c r="D11" s="97" t="inlineStr">
        <is>
          <t>4 Unit Aktif (21 Jam Operasi)</t>
        </is>
      </c>
      <c r="E11" s="97" t="n">
        <v>21</v>
      </c>
      <c r="F11" s="98" t="n">
        <v>30000</v>
      </c>
      <c r="G11" s="99" t="n">
        <v>0.7</v>
      </c>
      <c r="H11" s="98" t="n">
        <v>20000</v>
      </c>
      <c r="I11" s="98">
        <f>F11-H11</f>
        <v/>
      </c>
      <c r="J11" s="100" t="inlineStr">
        <is>
          <t>Operasi 3 Shift Kontinu (QC Pass)</t>
        </is>
      </c>
    </row>
    <row r="12">
      <c r="A12" s="97" t="n">
        <v>7</v>
      </c>
      <c r="B12" s="97" t="inlineStr">
        <is>
          <t>2026-10-07</t>
        </is>
      </c>
      <c r="C12" s="97" t="inlineStr">
        <is>
          <t>Hari Ke-7</t>
        </is>
      </c>
      <c r="D12" s="97" t="inlineStr">
        <is>
          <t>4 Unit Aktif (21 Jam Operasi)</t>
        </is>
      </c>
      <c r="E12" s="97" t="n">
        <v>21</v>
      </c>
      <c r="F12" s="98" t="n">
        <v>30000</v>
      </c>
      <c r="G12" s="99" t="n">
        <v>0.7</v>
      </c>
      <c r="H12" s="98" t="n">
        <v>20000</v>
      </c>
      <c r="I12" s="98">
        <f>F12-H12</f>
        <v/>
      </c>
      <c r="J12" s="100" t="inlineStr">
        <is>
          <t>Operasi 3 Shift Kontinu (QC Pass)</t>
        </is>
      </c>
    </row>
    <row r="13">
      <c r="A13" s="97" t="n">
        <v>8</v>
      </c>
      <c r="B13" s="97" t="inlineStr">
        <is>
          <t>2026-10-08</t>
        </is>
      </c>
      <c r="C13" s="97" t="inlineStr">
        <is>
          <t>Hari Ke-8</t>
        </is>
      </c>
      <c r="D13" s="97" t="inlineStr">
        <is>
          <t>4 Unit Aktif (21 Jam Operasi)</t>
        </is>
      </c>
      <c r="E13" s="97" t="n">
        <v>21</v>
      </c>
      <c r="F13" s="98" t="n">
        <v>30000</v>
      </c>
      <c r="G13" s="99" t="n">
        <v>0.7</v>
      </c>
      <c r="H13" s="98" t="n">
        <v>20000</v>
      </c>
      <c r="I13" s="98">
        <f>F13-H13</f>
        <v/>
      </c>
      <c r="J13" s="100" t="inlineStr">
        <is>
          <t>Operasi 3 Shift Kontinu (QC Pass)</t>
        </is>
      </c>
    </row>
    <row r="14">
      <c r="A14" s="97" t="n">
        <v>9</v>
      </c>
      <c r="B14" s="97" t="inlineStr">
        <is>
          <t>2026-10-09</t>
        </is>
      </c>
      <c r="C14" s="97" t="inlineStr">
        <is>
          <t>Hari Ke-9</t>
        </is>
      </c>
      <c r="D14" s="97" t="inlineStr">
        <is>
          <t>4 Unit Aktif (21 Jam Operasi)</t>
        </is>
      </c>
      <c r="E14" s="97" t="n">
        <v>21</v>
      </c>
      <c r="F14" s="98" t="n">
        <v>30000</v>
      </c>
      <c r="G14" s="99" t="n">
        <v>0.7</v>
      </c>
      <c r="H14" s="98" t="n">
        <v>20000</v>
      </c>
      <c r="I14" s="98">
        <f>F14-H14</f>
        <v/>
      </c>
      <c r="J14" s="100" t="inlineStr">
        <is>
          <t>Operasi 3 Shift Kontinu (QC Pass)</t>
        </is>
      </c>
    </row>
    <row r="15">
      <c r="A15" s="97" t="n">
        <v>10</v>
      </c>
      <c r="B15" s="97" t="inlineStr">
        <is>
          <t>2026-10-10</t>
        </is>
      </c>
      <c r="C15" s="97" t="inlineStr">
        <is>
          <t>Hari Ke-10</t>
        </is>
      </c>
      <c r="D15" s="97" t="inlineStr">
        <is>
          <t>4 Unit Aktif (21 Jam Operasi)</t>
        </is>
      </c>
      <c r="E15" s="97" t="n">
        <v>21</v>
      </c>
      <c r="F15" s="98" t="n">
        <v>30000</v>
      </c>
      <c r="G15" s="99" t="n">
        <v>0.7</v>
      </c>
      <c r="H15" s="98" t="n">
        <v>20000</v>
      </c>
      <c r="I15" s="98">
        <f>F15-H15</f>
        <v/>
      </c>
      <c r="J15" s="100" t="inlineStr">
        <is>
          <t>Operasi 3 Shift Kontinu (QC Pass)</t>
        </is>
      </c>
    </row>
    <row r="16">
      <c r="A16" s="97" t="n">
        <v>11</v>
      </c>
      <c r="B16" s="97" t="inlineStr">
        <is>
          <t>2026-10-11</t>
        </is>
      </c>
      <c r="C16" s="97" t="inlineStr">
        <is>
          <t>Hari Ke-11</t>
        </is>
      </c>
      <c r="D16" s="97" t="inlineStr">
        <is>
          <t>4 Unit Aktif (21 Jam Operasi)</t>
        </is>
      </c>
      <c r="E16" s="97" t="n">
        <v>21</v>
      </c>
      <c r="F16" s="98" t="n">
        <v>30000</v>
      </c>
      <c r="G16" s="99" t="n">
        <v>0.7</v>
      </c>
      <c r="H16" s="98" t="n">
        <v>20000</v>
      </c>
      <c r="I16" s="98">
        <f>F16-H16</f>
        <v/>
      </c>
      <c r="J16" s="100" t="inlineStr">
        <is>
          <t>Operasi 3 Shift Kontinu (QC Pass)</t>
        </is>
      </c>
    </row>
    <row r="17">
      <c r="A17" s="97" t="n">
        <v>12</v>
      </c>
      <c r="B17" s="97" t="inlineStr">
        <is>
          <t>2026-10-12</t>
        </is>
      </c>
      <c r="C17" s="97" t="inlineStr">
        <is>
          <t>Hari Ke-12</t>
        </is>
      </c>
      <c r="D17" s="97" t="inlineStr">
        <is>
          <t>4 Unit Aktif (21 Jam Operasi)</t>
        </is>
      </c>
      <c r="E17" s="97" t="n">
        <v>21</v>
      </c>
      <c r="F17" s="98" t="n">
        <v>30000</v>
      </c>
      <c r="G17" s="99" t="n">
        <v>0.7</v>
      </c>
      <c r="H17" s="98" t="n">
        <v>20000</v>
      </c>
      <c r="I17" s="98">
        <f>F17-H17</f>
        <v/>
      </c>
      <c r="J17" s="100" t="inlineStr">
        <is>
          <t>Operasi 3 Shift Kontinu (QC Pass)</t>
        </is>
      </c>
    </row>
    <row r="18">
      <c r="A18" s="97" t="n">
        <v>13</v>
      </c>
      <c r="B18" s="97" t="inlineStr">
        <is>
          <t>2026-10-13</t>
        </is>
      </c>
      <c r="C18" s="97" t="inlineStr">
        <is>
          <t>Hari Ke-13</t>
        </is>
      </c>
      <c r="D18" s="97" t="inlineStr">
        <is>
          <t>4 Unit Aktif (21 Jam Operasi)</t>
        </is>
      </c>
      <c r="E18" s="97" t="n">
        <v>21</v>
      </c>
      <c r="F18" s="98" t="n">
        <v>30000</v>
      </c>
      <c r="G18" s="99" t="n">
        <v>0.7</v>
      </c>
      <c r="H18" s="98" t="n">
        <v>20000</v>
      </c>
      <c r="I18" s="98">
        <f>F18-H18</f>
        <v/>
      </c>
      <c r="J18" s="100" t="inlineStr">
        <is>
          <t>Operasi 3 Shift Kontinu (QC Pass)</t>
        </is>
      </c>
    </row>
    <row r="19">
      <c r="A19" s="97" t="n">
        <v>14</v>
      </c>
      <c r="B19" s="97" t="inlineStr">
        <is>
          <t>2026-10-14</t>
        </is>
      </c>
      <c r="C19" s="97" t="inlineStr">
        <is>
          <t>Hari Ke-14</t>
        </is>
      </c>
      <c r="D19" s="97" t="inlineStr">
        <is>
          <t>4 Unit Aktif (21 Jam Operasi)</t>
        </is>
      </c>
      <c r="E19" s="97" t="n">
        <v>21</v>
      </c>
      <c r="F19" s="98" t="n">
        <v>30000</v>
      </c>
      <c r="G19" s="99" t="n">
        <v>0.7</v>
      </c>
      <c r="H19" s="98" t="n">
        <v>20000</v>
      </c>
      <c r="I19" s="98">
        <f>F19-H19</f>
        <v/>
      </c>
      <c r="J19" s="100" t="inlineStr">
        <is>
          <t>Operasi 3 Shift Kontinu (QC Pass)</t>
        </is>
      </c>
    </row>
    <row r="20">
      <c r="A20" s="97" t="n">
        <v>15</v>
      </c>
      <c r="B20" s="97" t="inlineStr">
        <is>
          <t>2026-10-15</t>
        </is>
      </c>
      <c r="C20" s="97" t="inlineStr">
        <is>
          <t>Hari Ke-15</t>
        </is>
      </c>
      <c r="D20" s="97" t="inlineStr">
        <is>
          <t>4 Unit Aktif (21 Jam Operasi)</t>
        </is>
      </c>
      <c r="E20" s="97" t="n">
        <v>21</v>
      </c>
      <c r="F20" s="98" t="n">
        <v>30000</v>
      </c>
      <c r="G20" s="99" t="n">
        <v>0.7</v>
      </c>
      <c r="H20" s="98" t="n">
        <v>20000</v>
      </c>
      <c r="I20" s="98">
        <f>F20-H20</f>
        <v/>
      </c>
      <c r="J20" s="100" t="inlineStr">
        <is>
          <t>Operasi 3 Shift Kontinu (QC Pass)</t>
        </is>
      </c>
    </row>
    <row r="21">
      <c r="A21" s="97" t="n">
        <v>16</v>
      </c>
      <c r="B21" s="97" t="inlineStr">
        <is>
          <t>2026-10-16</t>
        </is>
      </c>
      <c r="C21" s="97" t="inlineStr">
        <is>
          <t>Hari Ke-16</t>
        </is>
      </c>
      <c r="D21" s="97" t="inlineStr">
        <is>
          <t>4 Unit Aktif (21 Jam Operasi)</t>
        </is>
      </c>
      <c r="E21" s="97" t="n">
        <v>21</v>
      </c>
      <c r="F21" s="98" t="n">
        <v>30000</v>
      </c>
      <c r="G21" s="99" t="n">
        <v>0.7</v>
      </c>
      <c r="H21" s="98" t="n">
        <v>20000</v>
      </c>
      <c r="I21" s="98">
        <f>F21-H21</f>
        <v/>
      </c>
      <c r="J21" s="100" t="inlineStr">
        <is>
          <t>Operasi 3 Shift Kontinu (QC Pass)</t>
        </is>
      </c>
    </row>
    <row r="22">
      <c r="A22" s="97" t="n">
        <v>17</v>
      </c>
      <c r="B22" s="97" t="inlineStr">
        <is>
          <t>2026-10-17</t>
        </is>
      </c>
      <c r="C22" s="97" t="inlineStr">
        <is>
          <t>Hari Ke-17</t>
        </is>
      </c>
      <c r="D22" s="97" t="inlineStr">
        <is>
          <t>4 Unit Aktif (21 Jam Operasi)</t>
        </is>
      </c>
      <c r="E22" s="97" t="n">
        <v>21</v>
      </c>
      <c r="F22" s="98" t="n">
        <v>30000</v>
      </c>
      <c r="G22" s="99" t="n">
        <v>0.7</v>
      </c>
      <c r="H22" s="98" t="n">
        <v>20000</v>
      </c>
      <c r="I22" s="98">
        <f>F22-H22</f>
        <v/>
      </c>
      <c r="J22" s="100" t="inlineStr">
        <is>
          <t>Operasi 3 Shift Kontinu (QC Pass)</t>
        </is>
      </c>
    </row>
    <row r="23">
      <c r="A23" s="97" t="n">
        <v>18</v>
      </c>
      <c r="B23" s="97" t="inlineStr">
        <is>
          <t>2026-10-18</t>
        </is>
      </c>
      <c r="C23" s="97" t="inlineStr">
        <is>
          <t>Hari Ke-18</t>
        </is>
      </c>
      <c r="D23" s="97" t="inlineStr">
        <is>
          <t>4 Unit Aktif (21 Jam Operasi)</t>
        </is>
      </c>
      <c r="E23" s="97" t="n">
        <v>21</v>
      </c>
      <c r="F23" s="98" t="n">
        <v>30000</v>
      </c>
      <c r="G23" s="99" t="n">
        <v>0.7</v>
      </c>
      <c r="H23" s="98" t="n">
        <v>20000</v>
      </c>
      <c r="I23" s="98">
        <f>F23-H23</f>
        <v/>
      </c>
      <c r="J23" s="100" t="inlineStr">
        <is>
          <t>Operasi 3 Shift Kontinu (QC Pass)</t>
        </is>
      </c>
    </row>
    <row r="24">
      <c r="A24" s="97" t="n">
        <v>19</v>
      </c>
      <c r="B24" s="97" t="inlineStr">
        <is>
          <t>2026-10-19</t>
        </is>
      </c>
      <c r="C24" s="97" t="inlineStr">
        <is>
          <t>Hari Ke-19</t>
        </is>
      </c>
      <c r="D24" s="97" t="inlineStr">
        <is>
          <t>4 Unit Aktif (21 Jam Operasi)</t>
        </is>
      </c>
      <c r="E24" s="97" t="n">
        <v>21</v>
      </c>
      <c r="F24" s="98" t="n">
        <v>30000</v>
      </c>
      <c r="G24" s="99" t="n">
        <v>0.7</v>
      </c>
      <c r="H24" s="98" t="n">
        <v>20000</v>
      </c>
      <c r="I24" s="98">
        <f>F24-H24</f>
        <v/>
      </c>
      <c r="J24" s="100" t="inlineStr">
        <is>
          <t>Operasi 3 Shift Kontinu (QC Pass)</t>
        </is>
      </c>
    </row>
    <row r="25">
      <c r="A25" s="97" t="n">
        <v>20</v>
      </c>
      <c r="B25" s="97" t="inlineStr">
        <is>
          <t>2026-10-20</t>
        </is>
      </c>
      <c r="C25" s="97" t="inlineStr">
        <is>
          <t>Hari Ke-20</t>
        </is>
      </c>
      <c r="D25" s="97" t="inlineStr">
        <is>
          <t>4 Unit Aktif (21 Jam Operasi)</t>
        </is>
      </c>
      <c r="E25" s="97" t="n">
        <v>21</v>
      </c>
      <c r="F25" s="98" t="n">
        <v>30000</v>
      </c>
      <c r="G25" s="99" t="n">
        <v>0.7</v>
      </c>
      <c r="H25" s="98" t="n">
        <v>20000</v>
      </c>
      <c r="I25" s="98">
        <f>F25-H25</f>
        <v/>
      </c>
      <c r="J25" s="100" t="inlineStr">
        <is>
          <t>Operasi 3 Shift Kontinu (QC Pass)</t>
        </is>
      </c>
    </row>
    <row r="26">
      <c r="A26" s="97" t="n">
        <v>21</v>
      </c>
      <c r="B26" s="97" t="inlineStr">
        <is>
          <t>2026-10-21</t>
        </is>
      </c>
      <c r="C26" s="97" t="inlineStr">
        <is>
          <t>Hari Ke-21</t>
        </is>
      </c>
      <c r="D26" s="97" t="inlineStr">
        <is>
          <t>4 Unit Aktif (21 Jam Operasi)</t>
        </is>
      </c>
      <c r="E26" s="97" t="n">
        <v>21</v>
      </c>
      <c r="F26" s="98" t="n">
        <v>30000</v>
      </c>
      <c r="G26" s="99" t="n">
        <v>0.7</v>
      </c>
      <c r="H26" s="98" t="n">
        <v>20000</v>
      </c>
      <c r="I26" s="98">
        <f>F26-H26</f>
        <v/>
      </c>
      <c r="J26" s="100" t="inlineStr">
        <is>
          <t>Operasi 3 Shift Kontinu (QC Pass)</t>
        </is>
      </c>
    </row>
    <row r="27">
      <c r="A27" s="97" t="n">
        <v>22</v>
      </c>
      <c r="B27" s="97" t="inlineStr">
        <is>
          <t>2026-10-22</t>
        </is>
      </c>
      <c r="C27" s="97" t="inlineStr">
        <is>
          <t>Hari Ke-22</t>
        </is>
      </c>
      <c r="D27" s="97" t="inlineStr">
        <is>
          <t>4 Unit Aktif (21 Jam Operasi)</t>
        </is>
      </c>
      <c r="E27" s="97" t="n">
        <v>21</v>
      </c>
      <c r="F27" s="98" t="n">
        <v>30000</v>
      </c>
      <c r="G27" s="99" t="n">
        <v>0.7</v>
      </c>
      <c r="H27" s="98" t="n">
        <v>20000</v>
      </c>
      <c r="I27" s="98">
        <f>F27-H27</f>
        <v/>
      </c>
      <c r="J27" s="100" t="inlineStr">
        <is>
          <t>Operasi 3 Shift Kontinu (QC Pass)</t>
        </is>
      </c>
    </row>
    <row r="28">
      <c r="A28" s="97" t="n">
        <v>23</v>
      </c>
      <c r="B28" s="97" t="inlineStr">
        <is>
          <t>2026-10-23</t>
        </is>
      </c>
      <c r="C28" s="97" t="inlineStr">
        <is>
          <t>Hari Ke-23</t>
        </is>
      </c>
      <c r="D28" s="97" t="inlineStr">
        <is>
          <t>4 Unit Aktif (21 Jam Operasi)</t>
        </is>
      </c>
      <c r="E28" s="97" t="n">
        <v>21</v>
      </c>
      <c r="F28" s="98" t="n">
        <v>30000</v>
      </c>
      <c r="G28" s="99" t="n">
        <v>0.7</v>
      </c>
      <c r="H28" s="98" t="n">
        <v>20000</v>
      </c>
      <c r="I28" s="98">
        <f>F28-H28</f>
        <v/>
      </c>
      <c r="J28" s="100" t="inlineStr">
        <is>
          <t>Operasi 3 Shift Kontinu (QC Pass)</t>
        </is>
      </c>
    </row>
    <row r="29">
      <c r="A29" s="97" t="n">
        <v>24</v>
      </c>
      <c r="B29" s="97" t="inlineStr">
        <is>
          <t>2026-10-24</t>
        </is>
      </c>
      <c r="C29" s="97" t="inlineStr">
        <is>
          <t>Hari Ke-24</t>
        </is>
      </c>
      <c r="D29" s="97" t="inlineStr">
        <is>
          <t>4 Unit Aktif (21 Jam Operasi)</t>
        </is>
      </c>
      <c r="E29" s="97" t="n">
        <v>21</v>
      </c>
      <c r="F29" s="98" t="n">
        <v>30000</v>
      </c>
      <c r="G29" s="99" t="n">
        <v>0.7</v>
      </c>
      <c r="H29" s="98" t="n">
        <v>20000</v>
      </c>
      <c r="I29" s="98">
        <f>F29-H29</f>
        <v/>
      </c>
      <c r="J29" s="100" t="inlineStr">
        <is>
          <t>Operasi 3 Shift Kontinu (QC Pass)</t>
        </is>
      </c>
    </row>
    <row r="30">
      <c r="A30" s="97" t="n">
        <v>25</v>
      </c>
      <c r="B30" s="97" t="inlineStr">
        <is>
          <t>2026-10-25</t>
        </is>
      </c>
      <c r="C30" s="97" t="inlineStr">
        <is>
          <t>Hari Ke-25</t>
        </is>
      </c>
      <c r="D30" s="97" t="inlineStr">
        <is>
          <t>4 Unit Aktif (21 Jam Operasi)</t>
        </is>
      </c>
      <c r="E30" s="97" t="n">
        <v>21</v>
      </c>
      <c r="F30" s="98" t="n">
        <v>30000</v>
      </c>
      <c r="G30" s="99" t="n">
        <v>0.7</v>
      </c>
      <c r="H30" s="98" t="n">
        <v>20000</v>
      </c>
      <c r="I30" s="98">
        <f>F30-H30</f>
        <v/>
      </c>
      <c r="J30" s="100" t="inlineStr">
        <is>
          <t>Operasi 3 Shift Kontinu (QC Pass)</t>
        </is>
      </c>
    </row>
    <row r="31">
      <c r="A31" s="97" t="n">
        <v>26</v>
      </c>
      <c r="B31" s="97" t="inlineStr">
        <is>
          <t>2026-10-26</t>
        </is>
      </c>
      <c r="C31" s="97" t="inlineStr">
        <is>
          <t>Hari Ke-26</t>
        </is>
      </c>
      <c r="D31" s="97" t="inlineStr">
        <is>
          <t>4 Unit Aktif (21 Jam Operasi)</t>
        </is>
      </c>
      <c r="E31" s="97" t="n">
        <v>21</v>
      </c>
      <c r="F31" s="98" t="n">
        <v>30000</v>
      </c>
      <c r="G31" s="99" t="n">
        <v>0.7</v>
      </c>
      <c r="H31" s="98" t="n">
        <v>20000</v>
      </c>
      <c r="I31" s="98">
        <f>F31-H31</f>
        <v/>
      </c>
      <c r="J31" s="100" t="inlineStr">
        <is>
          <t>Operasi 3 Shift Kontinu (QC Pass)</t>
        </is>
      </c>
    </row>
    <row r="32">
      <c r="C32" s="107" t="inlineStr">
        <is>
          <t>TOTAL BULANAN</t>
        </is>
      </c>
      <c r="E32" s="107">
        <f>SUM(E6:E31)</f>
        <v/>
      </c>
      <c r="F32" s="108">
        <f>SUM(F6:F31)</f>
        <v/>
      </c>
      <c r="G32" s="109">
        <f>AVERAGE(G6:G31)</f>
        <v/>
      </c>
      <c r="H32" s="108">
        <f>SUM(H6:H31)</f>
        <v/>
      </c>
      <c r="I32" s="108">
        <f>SUM(I6:I31)</f>
        <v/>
      </c>
      <c r="J32" s="107" t="inlineStr">
        <is>
          <t>Target 520.000 kg (520 Ton) Tercapai Sempurna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47" customWidth="1" min="2" max="2"/>
    <col width="65" customWidth="1" min="3" max="3"/>
    <col width="19" customWidth="1" min="4" max="4"/>
    <col width="24" customWidth="1" min="5" max="5"/>
    <col width="53" customWidth="1" min="6" max="6"/>
  </cols>
  <sheetData>
    <row r="1">
      <c r="A1" s="89" t="inlineStr">
        <is>
          <t>JURNAL DATA ASAL BIAYA OPERASIONAL &amp; HPP — BULAN OKTOBER 2026 (REVISI CPO.TXT)</t>
        </is>
      </c>
    </row>
    <row r="2">
      <c r="A2" s="90" t="inlineStr">
        <is>
          <t>Rincian Transaksi Pengeluaran Kas (Raw Mat Efektif Rp 2.000/kg &amp; Biaya Produksi Rp 2.000/kg)</t>
        </is>
      </c>
    </row>
    <row r="3"/>
    <row r="4">
      <c r="A4" s="95" t="inlineStr">
        <is>
          <t>No</t>
        </is>
      </c>
      <c r="B4" s="95" t="inlineStr">
        <is>
          <t>Kategori Biaya</t>
        </is>
      </c>
      <c r="C4" s="95" t="inlineStr">
        <is>
          <t>Deskripsi / Alokasi Pengeluaran</t>
        </is>
      </c>
      <c r="D4" s="95" t="inlineStr">
        <is>
          <t>Total Biaya (Rp)</t>
        </is>
      </c>
      <c r="E4" s="95" t="inlineStr">
        <is>
          <t>Biaya per kg PCO (Rp)</t>
        </is>
      </c>
      <c r="F4" s="95" t="inlineStr">
        <is>
          <t>Keterangan Perhitungan</t>
        </is>
      </c>
    </row>
    <row r="5">
      <c r="A5" t="n">
        <v>1</v>
      </c>
      <c r="B5" t="inlineStr">
        <is>
          <t>Bahan Baku</t>
        </is>
      </c>
      <c r="C5" t="inlineStr">
        <is>
          <t>Pembelian Bahan Baku Curah (780.000 kg input @ Rp 1.333,33/kg)</t>
        </is>
      </c>
      <c r="D5" s="110" t="n">
        <v>1040000000</v>
      </c>
      <c r="E5" s="98">
        <f>D5/02_Data_Asal_Produksi_Harian!H32</f>
        <v/>
      </c>
      <c r="F5" t="inlineStr">
        <is>
          <t>Revisi CPO.txt: Tepat Rp 2.000/kg produk jadi</t>
        </is>
      </c>
    </row>
    <row r="6">
      <c r="D6" s="110" t="n"/>
      <c r="E6" s="98" t="n"/>
    </row>
    <row r="7">
      <c r="D7" s="110" t="n"/>
      <c r="E7" s="98" t="n"/>
    </row>
    <row r="8">
      <c r="B8" s="111" t="inlineStr">
        <is>
          <t>SUBTOTAL RAW MATERIAL EFEKTIF</t>
        </is>
      </c>
      <c r="C8" s="112" t="n"/>
      <c r="D8" s="113">
        <f>D5</f>
        <v/>
      </c>
      <c r="E8" s="114">
        <f>ROUND(E5,0)</f>
        <v/>
      </c>
      <c r="F8" s="112" t="inlineStr">
        <is>
          <t>Komponen 1 HPP (Revisi CPO.txt: Rp 2.000/kg)</t>
        </is>
      </c>
    </row>
    <row r="9">
      <c r="D9" s="110" t="n"/>
      <c r="E9" s="98" t="n"/>
    </row>
    <row r="10">
      <c r="A10" t="n">
        <v>2</v>
      </c>
      <c r="B10" t="inlineStr">
        <is>
          <t>Tenaga Kerja Langsung</t>
        </is>
      </c>
      <c r="C10" t="inlineStr">
        <is>
          <t>Gaji &amp; Tunjangan Operator 3 Shift 21 Jam (18 Orang)</t>
        </is>
      </c>
      <c r="D10" s="110" t="n">
        <v>360000000</v>
      </c>
      <c r="E10" s="98">
        <f>D10/02_Data_Asal_Produksi_Harian!H32</f>
        <v/>
      </c>
      <c r="F10" t="inlineStr">
        <is>
          <t>Biaya Operasional 21 Jam</t>
        </is>
      </c>
    </row>
    <row r="11">
      <c r="A11" t="n">
        <v>3</v>
      </c>
      <c r="B11" t="inlineStr">
        <is>
          <t>Utilitas Listrik Pabrik</t>
        </is>
      </c>
      <c r="C11" t="inlineStr">
        <is>
          <t>Tagihan Listrik PLN Industri Penggerak 4 Unit Mesin (21 Jam)</t>
        </is>
      </c>
      <c r="D11" s="110" t="n">
        <v>340000000</v>
      </c>
      <c r="E11" s="98">
        <f>D11/02_Data_Asal_Produksi_Harian!H32</f>
        <v/>
      </c>
      <c r="F11" t="inlineStr">
        <is>
          <t>Biaya Operasional 21 Jam</t>
        </is>
      </c>
    </row>
    <row r="12">
      <c r="A12" t="n">
        <v>4</v>
      </c>
      <c r="B12" t="inlineStr">
        <is>
          <t>Bahan Bakar &amp; Energi</t>
        </is>
      </c>
      <c r="C12" t="inlineStr">
        <is>
          <t>Energi Gas &amp; Panas Burner Pengeringan/Reaksi Kontinu</t>
        </is>
      </c>
      <c r="D12" s="110" t="n">
        <v>210000000</v>
      </c>
      <c r="E12" s="98">
        <f>D12/02_Data_Asal_Produksi_Harian!H32</f>
        <v/>
      </c>
      <c r="F12" t="inlineStr">
        <is>
          <t>Biaya Operasional 21 Jam</t>
        </is>
      </c>
    </row>
    <row r="13">
      <c r="A13" t="n">
        <v>5</v>
      </c>
      <c r="B13" t="inlineStr">
        <is>
          <t>Maintenance &amp; Spareparts</t>
        </is>
      </c>
      <c r="C13" t="inlineStr">
        <is>
          <t>Pelumas Suhu Tinggi, Penggantian Filter &amp; Spareparts</t>
        </is>
      </c>
      <c r="D13" s="110" t="n">
        <v>80000000</v>
      </c>
      <c r="E13" s="98">
        <f>D13/02_Data_Asal_Produksi_Harian!H32</f>
        <v/>
      </c>
      <c r="F13" t="inlineStr">
        <is>
          <t>Biaya Operasional 21 Jam</t>
        </is>
      </c>
    </row>
    <row r="14">
      <c r="A14" t="n">
        <v>6</v>
      </c>
      <c r="B14" t="inlineStr">
        <is>
          <t>Packaging &amp; Consumables</t>
        </is>
      </c>
      <c r="C14" t="inlineStr">
        <is>
          <t>Karung Zak &amp; Palet Kayu untuk 520 Ton Produk PCO</t>
        </is>
      </c>
      <c r="D14" s="110" t="n">
        <v>50000000</v>
      </c>
      <c r="E14" s="98">
        <f>D14/02_Data_Asal_Produksi_Harian!H32</f>
        <v/>
      </c>
      <c r="F14" t="inlineStr">
        <is>
          <t>Biaya Operasional 21 Jam</t>
        </is>
      </c>
    </row>
    <row r="15">
      <c r="D15" s="110" t="n"/>
      <c r="E15" s="98" t="n"/>
    </row>
    <row r="16">
      <c r="B16" s="115" t="inlineStr">
        <is>
          <t>SUBTOTAL BIAYA PRODUKSI (OPERASIONAL PROSES)</t>
        </is>
      </c>
      <c r="C16" s="116" t="n"/>
      <c r="D16" s="117">
        <f>SUM(D10:D14)</f>
        <v/>
      </c>
      <c r="E16" s="118">
        <f>ROUND(D16/02_Data_Asal_Produksi_Harian!H32, 0)</f>
        <v/>
      </c>
      <c r="F16" s="116" t="inlineStr">
        <is>
          <t>Komponen 2 HPP (Revisi CPO.txt: Tepat Rp 2.000/kg)</t>
        </is>
      </c>
    </row>
    <row r="17">
      <c r="D17" s="110" t="n"/>
      <c r="E17" s="98" t="n"/>
    </row>
    <row r="18">
      <c r="A18" t="n">
        <v>7</v>
      </c>
      <c r="B18" t="inlineStr">
        <is>
          <t>Alokasi Sewa Gudang</t>
        </is>
      </c>
      <c r="C18" t="inlineStr">
        <is>
          <t>Alokasi Ruang Penyimpanan 520 Ton Produk PCO &amp; Buffer Material</t>
        </is>
      </c>
      <c r="D18" s="110" t="n">
        <v>200000000</v>
      </c>
      <c r="E18" s="98">
        <f>D18/02_Data_Asal_Produksi_Harian!H32</f>
        <v/>
      </c>
      <c r="F18" t="inlineStr">
        <is>
          <t>Biaya Fasilitas Gudang</t>
        </is>
      </c>
    </row>
    <row r="19">
      <c r="A19" t="n">
        <v>8</v>
      </c>
      <c r="B19" t="inlineStr">
        <is>
          <t>Keamanan &amp; Kebersihan</t>
        </is>
      </c>
      <c r="C19" t="inlineStr">
        <is>
          <t>Petugas Keamanan 24 Jam &amp; Sanitasi Area Gudang</t>
        </is>
      </c>
      <c r="D19" s="110" t="n">
        <v>33240000</v>
      </c>
      <c r="E19" s="98">
        <f>D19/02_Data_Asal_Produksi_Harian!H32</f>
        <v/>
      </c>
      <c r="F19" t="inlineStr">
        <is>
          <t>Biaya Fasilitas Gudang</t>
        </is>
      </c>
    </row>
    <row r="20">
      <c r="A20" t="n">
        <v>9</v>
      </c>
      <c r="B20" t="inlineStr">
        <is>
          <t>Utilitas Gudang</t>
        </is>
      </c>
      <c r="C20" t="inlineStr">
        <is>
          <t>Penerangan &amp; Ventilasi Blower Area Gudang Industri</t>
        </is>
      </c>
      <c r="D20" s="110" t="n">
        <v>20000000</v>
      </c>
      <c r="E20" s="98">
        <f>D20/02_Data_Asal_Produksi_Harian!H32</f>
        <v/>
      </c>
      <c r="F20" t="inlineStr">
        <is>
          <t>Biaya Fasilitas Gudang</t>
        </is>
      </c>
    </row>
    <row r="21">
      <c r="D21" s="110" t="n"/>
      <c r="E21" s="98" t="n"/>
    </row>
    <row r="22">
      <c r="B22" s="119" t="inlineStr">
        <is>
          <t>SUBTOTAL SEWA GUDANG (ALOKASI BIAYA GUDANG)</t>
        </is>
      </c>
      <c r="C22" s="120" t="n"/>
      <c r="D22" s="121">
        <f>SUM(D18:D20)</f>
        <v/>
      </c>
      <c r="E22" s="122">
        <f>ROUND(D22/02_Data_Asal_Produksi_Harian!H32, 0)</f>
        <v/>
      </c>
      <c r="F22" s="120" t="inlineStr">
        <is>
          <t>Komponen 3 HPP (Tepat Rp 487/kg)</t>
        </is>
      </c>
    </row>
    <row r="23">
      <c r="D23" s="110" t="n"/>
      <c r="E23" s="98" t="n"/>
    </row>
    <row r="24">
      <c r="B24" s="123" t="inlineStr">
        <is>
          <t>TOTAL CASH HPP (PENGELUARAN KAS RIIL)</t>
        </is>
      </c>
      <c r="C24" s="124" t="n"/>
      <c r="D24" s="125">
        <f>D8+D16+D22</f>
        <v/>
      </c>
      <c r="E24" s="126">
        <f>E8+E16+E22</f>
        <v/>
      </c>
      <c r="F24" s="124" t="inlineStr">
        <is>
          <t>Total Rp 4.487/kg Cash Outflow</t>
        </is>
      </c>
    </row>
  </sheetData>
  <mergeCells count="4">
    <mergeCell ref="B24:C24"/>
    <mergeCell ref="B8:C8"/>
    <mergeCell ref="B22:C22"/>
    <mergeCell ref="B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48" customWidth="1" min="2" max="2"/>
    <col width="19" customWidth="1" min="3" max="3"/>
    <col width="19" customWidth="1" min="4" max="4"/>
    <col width="23" customWidth="1" min="5" max="5"/>
    <col width="26" customWidth="1" min="6" max="6"/>
    <col width="25" customWidth="1" min="7" max="7"/>
  </cols>
  <sheetData>
    <row r="1">
      <c r="A1" s="89" t="inlineStr">
        <is>
          <t>DAFTAR ASET INVESTASI (CAPEX) &amp; JADWAL DEPRESIASI (REVISI CPO.TXT)</t>
        </is>
      </c>
    </row>
    <row r="2">
      <c r="A2" s="90" t="inlineStr">
        <is>
          <t>4 Unit Mesin Rp 3,6 Miliar + Pembangunan Gudang Rp 1,4 Miliar (Total Capex Rp 5,0 Miliar)</t>
        </is>
      </c>
    </row>
    <row r="3"/>
    <row r="4">
      <c r="A4" s="95" t="inlineStr">
        <is>
          <t>Kode Aset</t>
        </is>
      </c>
      <c r="B4" s="95" t="inlineStr">
        <is>
          <t>Nama Aset Investasi</t>
        </is>
      </c>
      <c r="C4" s="95" t="inlineStr">
        <is>
          <t>Kategori</t>
        </is>
      </c>
      <c r="D4" s="95" t="inlineStr">
        <is>
          <t>Masa Manfaat</t>
        </is>
      </c>
      <c r="E4" s="95" t="inlineStr">
        <is>
          <t>Nilai Perolehan (Rp)</t>
        </is>
      </c>
      <c r="F4" s="95" t="inlineStr">
        <is>
          <t>Depresiasi/Bulan (Rp)</t>
        </is>
      </c>
      <c r="G4" s="95" t="inlineStr">
        <is>
          <t>Depresiasi/kg PCO (Rp)</t>
        </is>
      </c>
    </row>
    <row r="5">
      <c r="A5" t="inlineStr">
        <is>
          <t>EQ-PCO-01</t>
        </is>
      </c>
      <c r="B5" t="inlineStr">
        <is>
          <t>Mesin Pemroses PCO Unit 1</t>
        </is>
      </c>
      <c r="C5" t="inlineStr">
        <is>
          <t>Mesin Produksi</t>
        </is>
      </c>
      <c r="D5" t="inlineStr">
        <is>
          <t>5 Tahun (60 Bln)</t>
        </is>
      </c>
      <c r="E5" s="110" t="n">
        <v>900000000</v>
      </c>
      <c r="F5" s="110">
        <f>E5/60</f>
        <v/>
      </c>
      <c r="G5" s="127">
        <f>F5/02_Data_Asal_Produksi_Harian!H32</f>
        <v/>
      </c>
    </row>
    <row r="6">
      <c r="A6" t="inlineStr">
        <is>
          <t>EQ-PCO-02</t>
        </is>
      </c>
      <c r="B6" t="inlineStr">
        <is>
          <t>Mesin Pemroses PCO Unit 2</t>
        </is>
      </c>
      <c r="C6" t="inlineStr">
        <is>
          <t>Mesin Produksi</t>
        </is>
      </c>
      <c r="D6" t="inlineStr">
        <is>
          <t>5 Tahun (60 Bln)</t>
        </is>
      </c>
      <c r="E6" s="110" t="n">
        <v>900000000</v>
      </c>
      <c r="F6" s="110">
        <f>E6/60</f>
        <v/>
      </c>
      <c r="G6" s="127">
        <f>F6/02_Data_Asal_Produksi_Harian!H32</f>
        <v/>
      </c>
    </row>
    <row r="7">
      <c r="A7" t="inlineStr">
        <is>
          <t>EQ-PCO-03</t>
        </is>
      </c>
      <c r="B7" t="inlineStr">
        <is>
          <t>Mesin Pemroses PCO Unit 3</t>
        </is>
      </c>
      <c r="C7" t="inlineStr">
        <is>
          <t>Mesin Produksi</t>
        </is>
      </c>
      <c r="D7" t="inlineStr">
        <is>
          <t>5 Tahun (60 Bln)</t>
        </is>
      </c>
      <c r="E7" s="110" t="n">
        <v>900000000</v>
      </c>
      <c r="F7" s="110">
        <f>E7/60</f>
        <v/>
      </c>
      <c r="G7" s="127">
        <f>F7/02_Data_Asal_Produksi_Harian!H32</f>
        <v/>
      </c>
    </row>
    <row r="8">
      <c r="A8" t="inlineStr">
        <is>
          <t>EQ-PCO-04</t>
        </is>
      </c>
      <c r="B8" t="inlineStr">
        <is>
          <t>Mesin Pemroses PCO Unit 4</t>
        </is>
      </c>
      <c r="C8" t="inlineStr">
        <is>
          <t>Mesin Produksi</t>
        </is>
      </c>
      <c r="D8" t="inlineStr">
        <is>
          <t>5 Tahun (60 Bln)</t>
        </is>
      </c>
      <c r="E8" s="110" t="n">
        <v>900000000</v>
      </c>
      <c r="F8" s="110">
        <f>E8/60</f>
        <v/>
      </c>
      <c r="G8" s="127">
        <f>F8/02_Data_Asal_Produksi_Harian!H32</f>
        <v/>
      </c>
    </row>
    <row r="9">
      <c r="B9" s="111" t="inlineStr">
        <is>
          <t>SUBTOTAL 4 UNIT MESIN PRODUKSI</t>
        </is>
      </c>
      <c r="C9" s="111" t="n"/>
      <c r="D9" s="111" t="n"/>
      <c r="E9" s="128">
        <f>SUM(E5:E8)</f>
        <v/>
      </c>
      <c r="F9" s="128">
        <f>SUM(F5:F8)</f>
        <v/>
      </c>
      <c r="G9" s="129">
        <f>SUM(G5:G8)</f>
        <v/>
      </c>
    </row>
    <row r="10">
      <c r="A10" t="inlineStr">
        <is>
          <t>BLD-GD-01</t>
        </is>
      </c>
      <c r="B10" t="inlineStr">
        <is>
          <t>Pembangunan &amp; Fasilitas Gudang</t>
        </is>
      </c>
      <c r="C10" t="inlineStr">
        <is>
          <t>Bangunan &amp; Sipil</t>
        </is>
      </c>
      <c r="D10" t="inlineStr">
        <is>
          <t>5 Tahun (60 Bln)</t>
        </is>
      </c>
      <c r="E10" s="110" t="n">
        <v>1400000000</v>
      </c>
      <c r="F10" s="110">
        <f>E10/60</f>
        <v/>
      </c>
      <c r="G10" s="127">
        <f>F10/02_Data_Asal_Produksi_Harian!H32</f>
        <v/>
      </c>
    </row>
    <row r="11">
      <c r="B11" s="115" t="inlineStr">
        <is>
          <t>TOTAL INVESTASI (CAPEX)</t>
        </is>
      </c>
      <c r="C11" s="115" t="n"/>
      <c r="D11" s="115" t="n"/>
      <c r="E11" s="130">
        <f>E9+E10</f>
        <v/>
      </c>
      <c r="F11" s="130">
        <f>F9+F10</f>
        <v/>
      </c>
      <c r="G11" s="131">
        <f>G9+G10</f>
        <v/>
      </c>
    </row>
    <row r="12">
      <c r="E12" s="110" t="n"/>
      <c r="F12" s="110" t="n"/>
      <c r="G12" s="127" t="n"/>
    </row>
    <row r="13">
      <c r="B13" s="123" t="inlineStr">
        <is>
          <t>BEBAN DEPRESIASI PER KG PRODUK JADI (ROUNDED)</t>
        </is>
      </c>
      <c r="C13" s="123" t="n"/>
      <c r="D13" s="123" t="n"/>
      <c r="E13" s="132">
        <f>ROUND(G11, 0)</f>
        <v/>
      </c>
      <c r="F13" s="132" t="inlineStr">
        <is>
          <t>Masuk ke Komponen 4 HPP</t>
        </is>
      </c>
      <c r="G13" s="133" t="inlineStr">
        <is>
          <t>Tepat Rp 160/kg</t>
        </is>
      </c>
    </row>
  </sheetData>
  <mergeCells count="3">
    <mergeCell ref="B9:D9"/>
    <mergeCell ref="B13:D13"/>
    <mergeCell ref="B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86" customWidth="1" min="1" max="1"/>
    <col width="14" customWidth="1" min="2" max="2"/>
    <col width="22" customWidth="1" min="3" max="3"/>
    <col width="30" customWidth="1" min="4" max="4"/>
    <col width="14" customWidth="1" min="5" max="5"/>
    <col width="23" customWidth="1" min="6" max="6"/>
    <col width="28" customWidth="1" min="7" max="7"/>
    <col width="26" customWidth="1" min="8" max="8"/>
    <col width="24" customWidth="1" min="9" max="9"/>
    <col width="21" customWidth="1" min="10" max="10"/>
    <col width="12" customWidth="1" min="11" max="11"/>
  </cols>
  <sheetData>
    <row r="1">
      <c r="A1" s="89" t="inlineStr">
        <is>
          <t>BUKU REGISTER PENJUALAN &amp; FAKTUR INVOICE PRODUK PCO</t>
        </is>
      </c>
    </row>
    <row r="2">
      <c r="A2" s="90" t="inlineStr">
        <is>
          <t>Distribusi Pengiriman B2B Off-Taker Industri (Total 520.000 kg / 520 Ton per Bulan)</t>
        </is>
      </c>
    </row>
    <row r="3">
      <c r="J3" s="134" t="inlineStr">
        <is>
          <t>HARGA JUAL KONTRAK</t>
        </is>
      </c>
      <c r="K3" s="135" t="n">
        <v>8300</v>
      </c>
    </row>
    <row r="4"/>
    <row r="5">
      <c r="A5" s="95" t="inlineStr">
        <is>
          <t>No</t>
        </is>
      </c>
      <c r="B5" s="95" t="inlineStr">
        <is>
          <t>No. Invoice</t>
        </is>
      </c>
      <c r="C5" s="95" t="inlineStr">
        <is>
          <t>Tanggal</t>
        </is>
      </c>
      <c r="D5" s="95" t="inlineStr">
        <is>
          <t>Nama Perusahaan Off-Taker</t>
        </is>
      </c>
      <c r="E5" s="95" t="inlineStr">
        <is>
          <t>Surat Jalan</t>
        </is>
      </c>
      <c r="F5" s="95" t="inlineStr">
        <is>
          <t>Volume Terkirim (kg)</t>
        </is>
      </c>
      <c r="G5" s="95" t="inlineStr">
        <is>
          <t>Harga Jual Satuan (Rp/kg)</t>
        </is>
      </c>
      <c r="H5" s="95" t="inlineStr">
        <is>
          <t>Total Nilai Faktur (Rp)</t>
        </is>
      </c>
      <c r="I5" s="95" t="inlineStr">
        <is>
          <t>Status Pembayaran</t>
        </is>
      </c>
    </row>
    <row r="6">
      <c r="A6" t="n">
        <v>1</v>
      </c>
      <c r="B6" t="inlineStr">
        <is>
          <t>INV-PCO-001</t>
        </is>
      </c>
      <c r="C6" t="inlineStr">
        <is>
          <t>2026-10-01</t>
        </is>
      </c>
      <c r="D6" t="inlineStr">
        <is>
          <t>PT Semen Perkasa Nusantara</t>
        </is>
      </c>
      <c r="E6" t="inlineStr">
        <is>
          <t>SJ-001</t>
        </is>
      </c>
      <c r="F6" s="98" t="n">
        <v>20000</v>
      </c>
      <c r="G6" s="110">
        <f>K$3</f>
        <v/>
      </c>
      <c r="H6" s="110">
        <f>F6*G6</f>
        <v/>
      </c>
      <c r="I6" t="inlineStr">
        <is>
          <t>Lunas / Tempo TOP 30H</t>
        </is>
      </c>
    </row>
    <row r="7">
      <c r="A7" t="n">
        <v>2</v>
      </c>
      <c r="B7" t="inlineStr">
        <is>
          <t>INV-PCO-002</t>
        </is>
      </c>
      <c r="C7" t="inlineStr">
        <is>
          <t>2026-10-02</t>
        </is>
      </c>
      <c r="D7" t="inlineStr">
        <is>
          <t>PT Mineral Konstruksi Prima</t>
        </is>
      </c>
      <c r="E7" t="inlineStr">
        <is>
          <t>SJ-002</t>
        </is>
      </c>
      <c r="F7" s="98" t="n">
        <v>20000</v>
      </c>
      <c r="G7" s="110">
        <f>K$3</f>
        <v/>
      </c>
      <c r="H7" s="110">
        <f>F7*G7</f>
        <v/>
      </c>
      <c r="I7" t="inlineStr">
        <is>
          <t>Lunas / Tempo TOP 30H</t>
        </is>
      </c>
    </row>
    <row r="8">
      <c r="A8" t="n">
        <v>3</v>
      </c>
      <c r="B8" t="inlineStr">
        <is>
          <t>INV-PCO-003</t>
        </is>
      </c>
      <c r="C8" t="inlineStr">
        <is>
          <t>2026-10-03</t>
        </is>
      </c>
      <c r="D8" t="inlineStr">
        <is>
          <t>PT Aditif Industri Mandiri</t>
        </is>
      </c>
      <c r="E8" t="inlineStr">
        <is>
          <t>SJ-003</t>
        </is>
      </c>
      <c r="F8" s="98" t="n">
        <v>20000</v>
      </c>
      <c r="G8" s="110">
        <f>K$3</f>
        <v/>
      </c>
      <c r="H8" s="110">
        <f>F8*G8</f>
        <v/>
      </c>
      <c r="I8" t="inlineStr">
        <is>
          <t>Lunas / Tempo TOP 30H</t>
        </is>
      </c>
    </row>
    <row r="9">
      <c r="A9" t="n">
        <v>4</v>
      </c>
      <c r="B9" t="inlineStr">
        <is>
          <t>INV-PCO-004</t>
        </is>
      </c>
      <c r="C9" t="inlineStr">
        <is>
          <t>2026-10-04</t>
        </is>
      </c>
      <c r="D9" t="inlineStr">
        <is>
          <t>PT Beton Jaya Makmur</t>
        </is>
      </c>
      <c r="E9" t="inlineStr">
        <is>
          <t>SJ-004</t>
        </is>
      </c>
      <c r="F9" s="98" t="n">
        <v>20000</v>
      </c>
      <c r="G9" s="110">
        <f>K$3</f>
        <v/>
      </c>
      <c r="H9" s="110">
        <f>F9*G9</f>
        <v/>
      </c>
      <c r="I9" t="inlineStr">
        <is>
          <t>Lunas / Tempo TOP 30H</t>
        </is>
      </c>
    </row>
    <row r="10">
      <c r="A10" t="n">
        <v>5</v>
      </c>
      <c r="B10" t="inlineStr">
        <is>
          <t>INV-PCO-005</t>
        </is>
      </c>
      <c r="C10" t="inlineStr">
        <is>
          <t>2026-10-05</t>
        </is>
      </c>
      <c r="D10" t="inlineStr">
        <is>
          <t>PT Semen Perkasa Nusantara</t>
        </is>
      </c>
      <c r="E10" t="inlineStr">
        <is>
          <t>SJ-005</t>
        </is>
      </c>
      <c r="F10" s="98" t="n">
        <v>20000</v>
      </c>
      <c r="G10" s="110">
        <f>K$3</f>
        <v/>
      </c>
      <c r="H10" s="110">
        <f>F10*G10</f>
        <v/>
      </c>
      <c r="I10" t="inlineStr">
        <is>
          <t>Lunas / Tempo TOP 30H</t>
        </is>
      </c>
    </row>
    <row r="11">
      <c r="A11" t="n">
        <v>6</v>
      </c>
      <c r="B11" t="inlineStr">
        <is>
          <t>INV-PCO-006</t>
        </is>
      </c>
      <c r="C11" t="inlineStr">
        <is>
          <t>2026-10-06</t>
        </is>
      </c>
      <c r="D11" t="inlineStr">
        <is>
          <t>PT Mineral Konstruksi Prima</t>
        </is>
      </c>
      <c r="E11" t="inlineStr">
        <is>
          <t>SJ-006</t>
        </is>
      </c>
      <c r="F11" s="98" t="n">
        <v>20000</v>
      </c>
      <c r="G11" s="110">
        <f>K$3</f>
        <v/>
      </c>
      <c r="H11" s="110">
        <f>F11*G11</f>
        <v/>
      </c>
      <c r="I11" t="inlineStr">
        <is>
          <t>Lunas / Tempo TOP 30H</t>
        </is>
      </c>
    </row>
    <row r="12">
      <c r="A12" t="n">
        <v>7</v>
      </c>
      <c r="B12" t="inlineStr">
        <is>
          <t>INV-PCO-007</t>
        </is>
      </c>
      <c r="C12" t="inlineStr">
        <is>
          <t>2026-10-07</t>
        </is>
      </c>
      <c r="D12" t="inlineStr">
        <is>
          <t>PT Aditif Industri Mandiri</t>
        </is>
      </c>
      <c r="E12" t="inlineStr">
        <is>
          <t>SJ-007</t>
        </is>
      </c>
      <c r="F12" s="98" t="n">
        <v>20000</v>
      </c>
      <c r="G12" s="110">
        <f>K$3</f>
        <v/>
      </c>
      <c r="H12" s="110">
        <f>F12*G12</f>
        <v/>
      </c>
      <c r="I12" t="inlineStr">
        <is>
          <t>Lunas / Tempo TOP 30H</t>
        </is>
      </c>
    </row>
    <row r="13">
      <c r="A13" t="n">
        <v>8</v>
      </c>
      <c r="B13" t="inlineStr">
        <is>
          <t>INV-PCO-008</t>
        </is>
      </c>
      <c r="C13" t="inlineStr">
        <is>
          <t>2026-10-08</t>
        </is>
      </c>
      <c r="D13" t="inlineStr">
        <is>
          <t>PT Beton Jaya Makmur</t>
        </is>
      </c>
      <c r="E13" t="inlineStr">
        <is>
          <t>SJ-008</t>
        </is>
      </c>
      <c r="F13" s="98" t="n">
        <v>20000</v>
      </c>
      <c r="G13" s="110">
        <f>K$3</f>
        <v/>
      </c>
      <c r="H13" s="110">
        <f>F13*G13</f>
        <v/>
      </c>
      <c r="I13" t="inlineStr">
        <is>
          <t>Lunas / Tempo TOP 30H</t>
        </is>
      </c>
    </row>
    <row r="14">
      <c r="A14" t="n">
        <v>9</v>
      </c>
      <c r="B14" t="inlineStr">
        <is>
          <t>INV-PCO-009</t>
        </is>
      </c>
      <c r="C14" t="inlineStr">
        <is>
          <t>2026-10-09</t>
        </is>
      </c>
      <c r="D14" t="inlineStr">
        <is>
          <t>PT Semen Perkasa Nusantara</t>
        </is>
      </c>
      <c r="E14" t="inlineStr">
        <is>
          <t>SJ-009</t>
        </is>
      </c>
      <c r="F14" s="98" t="n">
        <v>20000</v>
      </c>
      <c r="G14" s="110">
        <f>K$3</f>
        <v/>
      </c>
      <c r="H14" s="110">
        <f>F14*G14</f>
        <v/>
      </c>
      <c r="I14" t="inlineStr">
        <is>
          <t>Lunas / Tempo TOP 30H</t>
        </is>
      </c>
    </row>
    <row r="15">
      <c r="A15" t="n">
        <v>10</v>
      </c>
      <c r="B15" t="inlineStr">
        <is>
          <t>INV-PCO-010</t>
        </is>
      </c>
      <c r="C15" t="inlineStr">
        <is>
          <t>2026-10-10</t>
        </is>
      </c>
      <c r="D15" t="inlineStr">
        <is>
          <t>PT Mineral Konstruksi Prima</t>
        </is>
      </c>
      <c r="E15" t="inlineStr">
        <is>
          <t>SJ-010</t>
        </is>
      </c>
      <c r="F15" s="98" t="n">
        <v>20000</v>
      </c>
      <c r="G15" s="110">
        <f>K$3</f>
        <v/>
      </c>
      <c r="H15" s="110">
        <f>F15*G15</f>
        <v/>
      </c>
      <c r="I15" t="inlineStr">
        <is>
          <t>Lunas / Tempo TOP 30H</t>
        </is>
      </c>
    </row>
    <row r="16">
      <c r="A16" t="n">
        <v>11</v>
      </c>
      <c r="B16" t="inlineStr">
        <is>
          <t>INV-PCO-011</t>
        </is>
      </c>
      <c r="C16" t="inlineStr">
        <is>
          <t>2026-10-11</t>
        </is>
      </c>
      <c r="D16" t="inlineStr">
        <is>
          <t>PT Aditif Industri Mandiri</t>
        </is>
      </c>
      <c r="E16" t="inlineStr">
        <is>
          <t>SJ-011</t>
        </is>
      </c>
      <c r="F16" s="98" t="n">
        <v>20000</v>
      </c>
      <c r="G16" s="110">
        <f>K$3</f>
        <v/>
      </c>
      <c r="H16" s="110">
        <f>F16*G16</f>
        <v/>
      </c>
      <c r="I16" t="inlineStr">
        <is>
          <t>Lunas / Tempo TOP 30H</t>
        </is>
      </c>
    </row>
    <row r="17">
      <c r="A17" t="n">
        <v>12</v>
      </c>
      <c r="B17" t="inlineStr">
        <is>
          <t>INV-PCO-012</t>
        </is>
      </c>
      <c r="C17" t="inlineStr">
        <is>
          <t>2026-10-12</t>
        </is>
      </c>
      <c r="D17" t="inlineStr">
        <is>
          <t>PT Beton Jaya Makmur</t>
        </is>
      </c>
      <c r="E17" t="inlineStr">
        <is>
          <t>SJ-012</t>
        </is>
      </c>
      <c r="F17" s="98" t="n">
        <v>20000</v>
      </c>
      <c r="G17" s="110">
        <f>K$3</f>
        <v/>
      </c>
      <c r="H17" s="110">
        <f>F17*G17</f>
        <v/>
      </c>
      <c r="I17" t="inlineStr">
        <is>
          <t>Lunas / Tempo TOP 30H</t>
        </is>
      </c>
    </row>
    <row r="18">
      <c r="A18" t="n">
        <v>13</v>
      </c>
      <c r="B18" t="inlineStr">
        <is>
          <t>INV-PCO-013</t>
        </is>
      </c>
      <c r="C18" t="inlineStr">
        <is>
          <t>2026-10-13</t>
        </is>
      </c>
      <c r="D18" t="inlineStr">
        <is>
          <t>PT Semen Perkasa Nusantara</t>
        </is>
      </c>
      <c r="E18" t="inlineStr">
        <is>
          <t>SJ-013</t>
        </is>
      </c>
      <c r="F18" s="98" t="n">
        <v>20000</v>
      </c>
      <c r="G18" s="110">
        <f>K$3</f>
        <v/>
      </c>
      <c r="H18" s="110">
        <f>F18*G18</f>
        <v/>
      </c>
      <c r="I18" t="inlineStr">
        <is>
          <t>Lunas / Tempo TOP 30H</t>
        </is>
      </c>
    </row>
    <row r="19">
      <c r="A19" t="n">
        <v>14</v>
      </c>
      <c r="B19" t="inlineStr">
        <is>
          <t>INV-PCO-014</t>
        </is>
      </c>
      <c r="C19" t="inlineStr">
        <is>
          <t>2026-10-14</t>
        </is>
      </c>
      <c r="D19" t="inlineStr">
        <is>
          <t>PT Mineral Konstruksi Prima</t>
        </is>
      </c>
      <c r="E19" t="inlineStr">
        <is>
          <t>SJ-014</t>
        </is>
      </c>
      <c r="F19" s="98" t="n">
        <v>20000</v>
      </c>
      <c r="G19" s="110">
        <f>K$3</f>
        <v/>
      </c>
      <c r="H19" s="110">
        <f>F19*G19</f>
        <v/>
      </c>
      <c r="I19" t="inlineStr">
        <is>
          <t>Lunas / Tempo TOP 30H</t>
        </is>
      </c>
    </row>
    <row r="20">
      <c r="A20" t="n">
        <v>15</v>
      </c>
      <c r="B20" t="inlineStr">
        <is>
          <t>INV-PCO-015</t>
        </is>
      </c>
      <c r="C20" t="inlineStr">
        <is>
          <t>2026-10-15</t>
        </is>
      </c>
      <c r="D20" t="inlineStr">
        <is>
          <t>PT Aditif Industri Mandiri</t>
        </is>
      </c>
      <c r="E20" t="inlineStr">
        <is>
          <t>SJ-015</t>
        </is>
      </c>
      <c r="F20" s="98" t="n">
        <v>20000</v>
      </c>
      <c r="G20" s="110">
        <f>K$3</f>
        <v/>
      </c>
      <c r="H20" s="110">
        <f>F20*G20</f>
        <v/>
      </c>
      <c r="I20" t="inlineStr">
        <is>
          <t>Lunas / Tempo TOP 30H</t>
        </is>
      </c>
    </row>
    <row r="21">
      <c r="A21" t="n">
        <v>16</v>
      </c>
      <c r="B21" t="inlineStr">
        <is>
          <t>INV-PCO-016</t>
        </is>
      </c>
      <c r="C21" t="inlineStr">
        <is>
          <t>2026-10-16</t>
        </is>
      </c>
      <c r="D21" t="inlineStr">
        <is>
          <t>PT Beton Jaya Makmur</t>
        </is>
      </c>
      <c r="E21" t="inlineStr">
        <is>
          <t>SJ-016</t>
        </is>
      </c>
      <c r="F21" s="98" t="n">
        <v>20000</v>
      </c>
      <c r="G21" s="110">
        <f>K$3</f>
        <v/>
      </c>
      <c r="H21" s="110">
        <f>F21*G21</f>
        <v/>
      </c>
      <c r="I21" t="inlineStr">
        <is>
          <t>Lunas / Tempo TOP 30H</t>
        </is>
      </c>
    </row>
    <row r="22">
      <c r="A22" t="n">
        <v>17</v>
      </c>
      <c r="B22" t="inlineStr">
        <is>
          <t>INV-PCO-017</t>
        </is>
      </c>
      <c r="C22" t="inlineStr">
        <is>
          <t>2026-10-17</t>
        </is>
      </c>
      <c r="D22" t="inlineStr">
        <is>
          <t>PT Semen Perkasa Nusantara</t>
        </is>
      </c>
      <c r="E22" t="inlineStr">
        <is>
          <t>SJ-017</t>
        </is>
      </c>
      <c r="F22" s="98" t="n">
        <v>20000</v>
      </c>
      <c r="G22" s="110">
        <f>K$3</f>
        <v/>
      </c>
      <c r="H22" s="110">
        <f>F22*G22</f>
        <v/>
      </c>
      <c r="I22" t="inlineStr">
        <is>
          <t>Lunas / Tempo TOP 30H</t>
        </is>
      </c>
    </row>
    <row r="23">
      <c r="A23" t="n">
        <v>18</v>
      </c>
      <c r="B23" t="inlineStr">
        <is>
          <t>INV-PCO-018</t>
        </is>
      </c>
      <c r="C23" t="inlineStr">
        <is>
          <t>2026-10-18</t>
        </is>
      </c>
      <c r="D23" t="inlineStr">
        <is>
          <t>PT Mineral Konstruksi Prima</t>
        </is>
      </c>
      <c r="E23" t="inlineStr">
        <is>
          <t>SJ-018</t>
        </is>
      </c>
      <c r="F23" s="98" t="n">
        <v>20000</v>
      </c>
      <c r="G23" s="110">
        <f>K$3</f>
        <v/>
      </c>
      <c r="H23" s="110">
        <f>F23*G23</f>
        <v/>
      </c>
      <c r="I23" t="inlineStr">
        <is>
          <t>Lunas / Tempo TOP 30H</t>
        </is>
      </c>
    </row>
    <row r="24">
      <c r="A24" t="n">
        <v>19</v>
      </c>
      <c r="B24" t="inlineStr">
        <is>
          <t>INV-PCO-019</t>
        </is>
      </c>
      <c r="C24" t="inlineStr">
        <is>
          <t>2026-10-19</t>
        </is>
      </c>
      <c r="D24" t="inlineStr">
        <is>
          <t>PT Aditif Industri Mandiri</t>
        </is>
      </c>
      <c r="E24" t="inlineStr">
        <is>
          <t>SJ-019</t>
        </is>
      </c>
      <c r="F24" s="98" t="n">
        <v>20000</v>
      </c>
      <c r="G24" s="110">
        <f>K$3</f>
        <v/>
      </c>
      <c r="H24" s="110">
        <f>F24*G24</f>
        <v/>
      </c>
      <c r="I24" t="inlineStr">
        <is>
          <t>Lunas / Tempo TOP 30H</t>
        </is>
      </c>
    </row>
    <row r="25">
      <c r="A25" t="n">
        <v>20</v>
      </c>
      <c r="B25" t="inlineStr">
        <is>
          <t>INV-PCO-020</t>
        </is>
      </c>
      <c r="C25" t="inlineStr">
        <is>
          <t>2026-10-20</t>
        </is>
      </c>
      <c r="D25" t="inlineStr">
        <is>
          <t>PT Beton Jaya Makmur</t>
        </is>
      </c>
      <c r="E25" t="inlineStr">
        <is>
          <t>SJ-020</t>
        </is>
      </c>
      <c r="F25" s="98" t="n">
        <v>20000</v>
      </c>
      <c r="G25" s="110">
        <f>K$3</f>
        <v/>
      </c>
      <c r="H25" s="110">
        <f>F25*G25</f>
        <v/>
      </c>
      <c r="I25" t="inlineStr">
        <is>
          <t>Lunas / Tempo TOP 30H</t>
        </is>
      </c>
    </row>
    <row r="26">
      <c r="A26" t="n">
        <v>21</v>
      </c>
      <c r="B26" t="inlineStr">
        <is>
          <t>INV-PCO-021</t>
        </is>
      </c>
      <c r="C26" t="inlineStr">
        <is>
          <t>2026-10-21</t>
        </is>
      </c>
      <c r="D26" t="inlineStr">
        <is>
          <t>PT Semen Perkasa Nusantara</t>
        </is>
      </c>
      <c r="E26" t="inlineStr">
        <is>
          <t>SJ-021</t>
        </is>
      </c>
      <c r="F26" s="98" t="n">
        <v>20000</v>
      </c>
      <c r="G26" s="110">
        <f>K$3</f>
        <v/>
      </c>
      <c r="H26" s="110">
        <f>F26*G26</f>
        <v/>
      </c>
      <c r="I26" t="inlineStr">
        <is>
          <t>Lunas / Tempo TOP 30H</t>
        </is>
      </c>
    </row>
    <row r="27">
      <c r="A27" t="n">
        <v>22</v>
      </c>
      <c r="B27" t="inlineStr">
        <is>
          <t>INV-PCO-022</t>
        </is>
      </c>
      <c r="C27" t="inlineStr">
        <is>
          <t>2026-10-22</t>
        </is>
      </c>
      <c r="D27" t="inlineStr">
        <is>
          <t>PT Mineral Konstruksi Prima</t>
        </is>
      </c>
      <c r="E27" t="inlineStr">
        <is>
          <t>SJ-022</t>
        </is>
      </c>
      <c r="F27" s="98" t="n">
        <v>20000</v>
      </c>
      <c r="G27" s="110">
        <f>K$3</f>
        <v/>
      </c>
      <c r="H27" s="110">
        <f>F27*G27</f>
        <v/>
      </c>
      <c r="I27" t="inlineStr">
        <is>
          <t>Lunas / Tempo TOP 30H</t>
        </is>
      </c>
    </row>
    <row r="28">
      <c r="A28" t="n">
        <v>23</v>
      </c>
      <c r="B28" t="inlineStr">
        <is>
          <t>INV-PCO-023</t>
        </is>
      </c>
      <c r="C28" t="inlineStr">
        <is>
          <t>2026-10-23</t>
        </is>
      </c>
      <c r="D28" t="inlineStr">
        <is>
          <t>PT Aditif Industri Mandiri</t>
        </is>
      </c>
      <c r="E28" t="inlineStr">
        <is>
          <t>SJ-023</t>
        </is>
      </c>
      <c r="F28" s="98" t="n">
        <v>20000</v>
      </c>
      <c r="G28" s="110">
        <f>K$3</f>
        <v/>
      </c>
      <c r="H28" s="110">
        <f>F28*G28</f>
        <v/>
      </c>
      <c r="I28" t="inlineStr">
        <is>
          <t>Lunas / Tempo TOP 30H</t>
        </is>
      </c>
    </row>
    <row r="29">
      <c r="A29" t="n">
        <v>24</v>
      </c>
      <c r="B29" t="inlineStr">
        <is>
          <t>INV-PCO-024</t>
        </is>
      </c>
      <c r="C29" t="inlineStr">
        <is>
          <t>2026-10-24</t>
        </is>
      </c>
      <c r="D29" t="inlineStr">
        <is>
          <t>PT Beton Jaya Makmur</t>
        </is>
      </c>
      <c r="E29" t="inlineStr">
        <is>
          <t>SJ-024</t>
        </is>
      </c>
      <c r="F29" s="98" t="n">
        <v>20000</v>
      </c>
      <c r="G29" s="110">
        <f>K$3</f>
        <v/>
      </c>
      <c r="H29" s="110">
        <f>F29*G29</f>
        <v/>
      </c>
      <c r="I29" t="inlineStr">
        <is>
          <t>Lunas / Tempo TOP 30H</t>
        </is>
      </c>
    </row>
    <row r="30">
      <c r="A30" t="n">
        <v>25</v>
      </c>
      <c r="B30" t="inlineStr">
        <is>
          <t>INV-PCO-025</t>
        </is>
      </c>
      <c r="C30" t="inlineStr">
        <is>
          <t>2026-10-25</t>
        </is>
      </c>
      <c r="D30" t="inlineStr">
        <is>
          <t>PT Semen Perkasa Nusantara</t>
        </is>
      </c>
      <c r="E30" t="inlineStr">
        <is>
          <t>SJ-025</t>
        </is>
      </c>
      <c r="F30" s="98" t="n">
        <v>20000</v>
      </c>
      <c r="G30" s="110">
        <f>K$3</f>
        <v/>
      </c>
      <c r="H30" s="110">
        <f>F30*G30</f>
        <v/>
      </c>
      <c r="I30" t="inlineStr">
        <is>
          <t>Lunas / Tempo TOP 30H</t>
        </is>
      </c>
    </row>
    <row r="31">
      <c r="A31" t="n">
        <v>26</v>
      </c>
      <c r="B31" t="inlineStr">
        <is>
          <t>INV-PCO-026</t>
        </is>
      </c>
      <c r="C31" t="inlineStr">
        <is>
          <t>2026-10-26</t>
        </is>
      </c>
      <c r="D31" t="inlineStr">
        <is>
          <t>PT Mineral Konstruksi Prima</t>
        </is>
      </c>
      <c r="E31" t="inlineStr">
        <is>
          <t>SJ-026</t>
        </is>
      </c>
      <c r="F31" s="98" t="n">
        <v>20000</v>
      </c>
      <c r="G31" s="110">
        <f>K$3</f>
        <v/>
      </c>
      <c r="H31" s="110">
        <f>F31*G31</f>
        <v/>
      </c>
      <c r="I31" t="inlineStr">
        <is>
          <t>Lunas / Tempo TOP 30H</t>
        </is>
      </c>
    </row>
    <row r="32">
      <c r="C32" s="107" t="inlineStr">
        <is>
          <t>TOTAL OMZET BULANAN</t>
        </is>
      </c>
      <c r="F32" s="108">
        <f>SUM(F6:F31)</f>
        <v/>
      </c>
      <c r="G32" s="107" t="n"/>
      <c r="H32" s="136">
        <f>SUM(H6:H31)</f>
        <v/>
      </c>
      <c r="I32" s="107" t="inlineStr">
        <is>
          <t>Tepat Rp 4,316 Miliar</t>
        </is>
      </c>
    </row>
  </sheetData>
  <mergeCells count="1">
    <mergeCell ref="C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8" customWidth="1" min="2" max="2"/>
    <col width="23" customWidth="1" min="3" max="3"/>
    <col width="35" customWidth="1" min="4" max="4"/>
    <col width="21" customWidth="1" min="5" max="5"/>
    <col width="25" customWidth="1" min="6" max="6"/>
    <col width="38" customWidth="1" min="7" max="7"/>
  </cols>
  <sheetData>
    <row r="1">
      <c r="A1" s="89" t="inlineStr">
        <is>
          <t>LAPORAN PENGOLAHAN LABA RUGI &amp; INDIKATOR KELAYAKAN BISNIS (REVISI CPO.TXT)</t>
        </is>
      </c>
    </row>
    <row r="2">
      <c r="A2" s="90" t="inlineStr">
        <is>
          <t>Kompilasi Finansial Bulanan &amp; Tahunan Terintegrasi Kapasitas 520 Ton/Bulan</t>
        </is>
      </c>
    </row>
    <row r="3"/>
    <row r="4">
      <c r="A4" s="95" t="inlineStr">
        <is>
          <t>No</t>
        </is>
      </c>
      <c r="B4" s="95" t="inlineStr">
        <is>
          <t>Komponen Finansial</t>
        </is>
      </c>
      <c r="C4" s="95" t="inlineStr">
        <is>
          <t>Nilai per kg (Rp/kg)</t>
        </is>
      </c>
      <c r="D4" s="95" t="inlineStr">
        <is>
          <t>Nilai Bulanan (Rp)</t>
        </is>
      </c>
      <c r="E4" s="95" t="inlineStr">
        <is>
          <t>Nilai Tahunan (Rp)</t>
        </is>
      </c>
      <c r="F4" s="95" t="inlineStr">
        <is>
          <t>Rasio % Terhadap Omzet</t>
        </is>
      </c>
      <c r="G4" s="95" t="inlineStr">
        <is>
          <t>Keterangan</t>
        </is>
      </c>
    </row>
    <row r="5">
      <c r="A5" s="137" t="n">
        <v>1</v>
      </c>
      <c r="B5" s="137" t="inlineStr">
        <is>
          <t>PENDAPATAN (OMZET PENJUALAN)</t>
        </is>
      </c>
      <c r="C5" s="138">
        <f>05_Data_Asal_Penjualan_Invoice!K3</f>
        <v/>
      </c>
      <c r="D5" s="138">
        <f>05_Data_Asal_Penjualan_Invoice!H32</f>
        <v/>
      </c>
      <c r="E5" s="138">
        <f>D5*12</f>
        <v/>
      </c>
      <c r="F5" s="139">
        <f>D5/D5</f>
        <v/>
      </c>
      <c r="G5" s="137" t="inlineStr">
        <is>
          <t>Top-line revenue 520.000 kg</t>
        </is>
      </c>
    </row>
    <row r="6">
      <c r="A6" t="n">
        <v>2</v>
      </c>
      <c r="B6" t="inlineStr">
        <is>
          <t>HPP: Raw Material Efektif</t>
        </is>
      </c>
      <c r="C6" s="110">
        <f>03_Data_Asal_Biaya_Operasional!E8</f>
        <v/>
      </c>
      <c r="D6" s="110">
        <f>03_Data_Asal_Biaya_Operasional!D8</f>
        <v/>
      </c>
      <c r="E6" s="110">
        <f>D6*12</f>
        <v/>
      </c>
      <c r="F6" s="140">
        <f>D6/D$5</f>
        <v/>
      </c>
      <c r="G6" t="inlineStr">
        <is>
          <t>Revisi CPO: Rp 2.000/kg</t>
        </is>
      </c>
    </row>
    <row r="7">
      <c r="A7" t="n">
        <v>3</v>
      </c>
      <c r="B7" t="inlineStr">
        <is>
          <t>HPP: Biaya Produksi (Operasional)</t>
        </is>
      </c>
      <c r="C7" s="110">
        <f>03_Data_Asal_Biaya_Operasional!E16</f>
        <v/>
      </c>
      <c r="D7" s="110">
        <f>03_Data_Asal_Biaya_Operasional!D16</f>
        <v/>
      </c>
      <c r="E7" s="110">
        <f>D7*12</f>
        <v/>
      </c>
      <c r="F7" s="140">
        <f>D7/D$5</f>
        <v/>
      </c>
      <c r="G7" t="inlineStr">
        <is>
          <t>Revisi CPO: Rp 2.000/kg</t>
        </is>
      </c>
    </row>
    <row r="8">
      <c r="A8" t="n">
        <v>4</v>
      </c>
      <c r="B8" t="inlineStr">
        <is>
          <t>HPP: Alokasi Sewa Gudang</t>
        </is>
      </c>
      <c r="C8" s="110">
        <f>03_Data_Asal_Biaya_Operasional!E22</f>
        <v/>
      </c>
      <c r="D8" s="110">
        <f>03_Data_Asal_Biaya_Operasional!D22</f>
        <v/>
      </c>
      <c r="E8" s="110">
        <f>D8*12</f>
        <v/>
      </c>
      <c r="F8" s="140">
        <f>D8/D$5</f>
        <v/>
      </c>
      <c r="G8" t="inlineStr">
        <is>
          <t>Alokasi sewa &amp; fasilitas gudang</t>
        </is>
      </c>
    </row>
    <row r="9">
      <c r="A9" s="141" t="n">
        <v>5</v>
      </c>
      <c r="B9" s="141" t="inlineStr">
        <is>
          <t>TOTAL CASH HPP (CASH COGS)</t>
        </is>
      </c>
      <c r="C9" s="142">
        <f>C6+C7+C8</f>
        <v/>
      </c>
      <c r="D9" s="142">
        <f>D6+D7+D8</f>
        <v/>
      </c>
      <c r="E9" s="142">
        <f>D9*12</f>
        <v/>
      </c>
      <c r="F9" s="143">
        <f>D9/D$5</f>
        <v/>
      </c>
      <c r="G9" s="141" t="inlineStr">
        <is>
          <t>Total pengeluaran kas langsung</t>
        </is>
      </c>
    </row>
    <row r="10">
      <c r="A10" t="n">
        <v>6</v>
      </c>
      <c r="B10" t="inlineStr">
        <is>
          <t>CASH GROSS PROFIT (EBITDA)</t>
        </is>
      </c>
      <c r="C10" s="110">
        <f>C5-C9</f>
        <v/>
      </c>
      <c r="D10" s="110">
        <f>D5-D9</f>
        <v/>
      </c>
      <c r="E10" s="110">
        <f>D10*12</f>
        <v/>
      </c>
      <c r="F10" s="140">
        <f>D10/D$5</f>
        <v/>
      </c>
      <c r="G10" t="inlineStr">
        <is>
          <t>Laba operasional sebelum depresiasi</t>
        </is>
      </c>
    </row>
    <row r="11">
      <c r="A11" t="n">
        <v>7</v>
      </c>
      <c r="B11" t="inlineStr">
        <is>
          <t>Beban Depresiasi Aset (5 Tahun)</t>
        </is>
      </c>
      <c r="C11" s="110">
        <f>04_Data_Asal_Aset_Depresiasi!E13</f>
        <v/>
      </c>
      <c r="D11" s="110">
        <f>04_Data_Asal_Aset_Depresiasi!F11</f>
        <v/>
      </c>
      <c r="E11" s="110">
        <f>D11*12</f>
        <v/>
      </c>
      <c r="F11" s="140">
        <f>D11/D$5</f>
        <v/>
      </c>
      <c r="G11" t="inlineStr">
        <is>
          <t>Capex Rp 5 M garis lurus 60 bln</t>
        </is>
      </c>
    </row>
    <row r="12">
      <c r="A12" s="119" t="n">
        <v>8</v>
      </c>
      <c r="B12" s="119" t="inlineStr">
        <is>
          <t>FULL HPP (TOTAL COGS)</t>
        </is>
      </c>
      <c r="C12" s="144">
        <f>C9+C11</f>
        <v/>
      </c>
      <c r="D12" s="144">
        <f>D9+D11</f>
        <v/>
      </c>
      <c r="E12" s="144">
        <f>D12*12</f>
        <v/>
      </c>
      <c r="F12" s="145">
        <f>D12/D$5</f>
        <v/>
      </c>
      <c r="G12" s="119" t="inlineStr">
        <is>
          <t>Total HPP Lengkap</t>
        </is>
      </c>
    </row>
    <row r="13">
      <c r="A13" s="123" t="n">
        <v>9</v>
      </c>
      <c r="B13" s="123" t="inlineStr">
        <is>
          <t>LABA BERSIH OPERASIONAL (EBIT)</t>
        </is>
      </c>
      <c r="C13" s="132">
        <f>C5-C12</f>
        <v/>
      </c>
      <c r="D13" s="132">
        <f>D5-D12</f>
        <v/>
      </c>
      <c r="E13" s="132">
        <f>D13*12</f>
        <v/>
      </c>
      <c r="F13" s="146">
        <f>D13/D$5</f>
        <v/>
      </c>
      <c r="G13" s="123" t="inlineStr">
        <is>
          <t>Laba sebelum pajak</t>
        </is>
      </c>
    </row>
    <row r="14">
      <c r="A14" t="n">
        <v>10</v>
      </c>
      <c r="B14" t="inlineStr">
        <is>
          <t>PAYBACK PERIOD (PENGEMBALIAN CAPEX)</t>
        </is>
      </c>
      <c r="C14" s="110" t="inlineStr">
        <is>
          <t>-</t>
        </is>
      </c>
      <c r="D14" s="110" t="inlineStr">
        <is>
          <t>04_Data_Asal_Aset_Depresiasi!E11</t>
        </is>
      </c>
      <c r="E14" s="110">
        <f>04_Data_Asal_Aset_Depresiasi!E11/E13</f>
        <v/>
      </c>
      <c r="F14" s="140" t="inlineStr">
        <is>
          <t>-</t>
        </is>
      </c>
      <c r="G14" t="inlineStr">
        <is>
          <t>± 0,22 Tahun (2,6 Bulan)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2026-10-13T14:04:55Z</dcterms:created>
  <dcterms:modified xsi:type="dcterms:W3CDTF">2026-10-13T14:04:55Z</dcterms:modified>
</cp:coreProperties>
</file>